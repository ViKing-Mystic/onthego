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 Overview" sheetId="1" state="visible" r:id="rId1"/>
    <sheet name="Master Itinerary" sheetId="2" state="visible" r:id="rId2"/>
    <sheet name="Contacts &amp; Bookings Wallet" sheetId="3" state="visible" r:id="rId3"/>
    <sheet name="Food &amp; Restaurant Guide" sheetId="4" state="visible" r:id="rId4"/>
    <sheet name="Budget &amp; Expense Splitter" sheetId="5" state="visible" r:id="rId5"/>
    <sheet name="Checklist &amp; Safety 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94A3B8"/>
      <sz val="10"/>
    </font>
    <font>
      <name val="Segoe UI"/>
      <b val="1"/>
      <color rgb="0038BDF8"/>
      <sz val="12"/>
    </font>
    <font>
      <name val="Segoe UI"/>
      <b val="1"/>
      <color rgb="00334155"/>
      <sz val="10"/>
    </font>
    <font>
      <name val="Segoe UI"/>
      <color rgb="000F172A"/>
      <sz val="10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b val="1"/>
      <color rgb="00059669"/>
      <sz val="10"/>
    </font>
    <font>
      <name val="Segoe UI"/>
      <b val="1"/>
      <color rgb="000284C7"/>
      <sz val="10"/>
    </font>
    <font>
      <name val="Segoe UI"/>
      <color rgb="00E11D48"/>
      <sz val="10"/>
    </font>
    <font>
      <name val="Segoe UI"/>
      <b val="1"/>
      <color rgb="006366F1"/>
      <sz val="10"/>
    </font>
    <font>
      <name val="Segoe UI"/>
      <b val="1"/>
      <color rgb="00D97706"/>
      <sz val="10"/>
    </font>
    <font>
      <name val="Segoe UI"/>
      <b val="1"/>
      <color rgb="009333EA"/>
      <sz val="10"/>
    </font>
    <font>
      <name val="Segoe UI"/>
      <b val="1"/>
      <color rgb="00E11D48"/>
      <sz val="10"/>
    </font>
    <font>
      <name val="Segoe UI"/>
      <color rgb="00475569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E11D48"/>
        <bgColor rgb="00E11D48"/>
      </patternFill>
    </fill>
    <fill>
      <patternFill patternType="solid">
        <fgColor rgb="00F8FAFC"/>
        <bgColor rgb="00F8FAFC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/>
      <right/>
      <top style="thin">
        <color rgb="00CBD5E1"/>
      </top>
      <bottom style="medium">
        <color rgb="000F172A"/>
      </bottom>
      <diagonal/>
    </border>
    <border>
      <left/>
      <right style="thin">
        <color rgb="00CBD5E1"/>
      </right>
      <top style="thin">
        <color rgb="00CBD5E1"/>
      </top>
      <bottom style="medium">
        <color rgb="000F172A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right" vertical="center" wrapText="1"/>
    </xf>
    <xf numFmtId="0" fontId="11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8" pivotButton="0" quotePrefix="0" xfId="0"/>
    <xf numFmtId="164" fontId="6" fillId="3" borderId="6" applyAlignment="1" pivotButton="0" quotePrefix="0" xfId="0">
      <alignment horizontal="right" vertical="center"/>
    </xf>
    <xf numFmtId="0" fontId="0" fillId="3" borderId="6" pivotButton="0" quotePrefix="0" xfId="0"/>
    <xf numFmtId="0" fontId="1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59" customWidth="1" min="2" max="2"/>
    <col width="54" customWidth="1" min="3" max="3"/>
    <col width="65" customWidth="1" min="4" max="4"/>
    <col width="54" customWidth="1" min="5" max="5"/>
    <col width="23" customWidth="1" min="6" max="6"/>
    <col width="65" customWidth="1" min="7" max="7"/>
  </cols>
  <sheetData>
    <row r="1" ht="42" customHeight="1">
      <c r="A1" s="1" t="inlineStr">
        <is>
          <t>🌴 KOCHI–ALLEPPEY COASTAL SCOOTER ESCAPE</t>
        </is>
      </c>
      <c r="B1" s="2" t="n"/>
      <c r="C1" s="2" t="n"/>
      <c r="D1" s="2" t="n"/>
      <c r="E1" s="2" t="n"/>
      <c r="F1" s="2" t="n"/>
      <c r="G1" s="3" t="n"/>
    </row>
    <row r="2" ht="24" customHeight="1">
      <c r="A2" s="4" t="inlineStr">
        <is>
          <t>16–20 October 2026 • 96-Hour Master Travel Guide • Bengaluru Outbound &amp; Return</t>
        </is>
      </c>
      <c r="B2" s="2" t="n"/>
      <c r="C2" s="2" t="n"/>
      <c r="D2" s="2" t="n"/>
      <c r="E2" s="2" t="n"/>
      <c r="F2" s="2" t="n"/>
      <c r="G2" s="3" t="n"/>
    </row>
    <row r="3"/>
    <row r="4" ht="26" customHeight="1">
      <c r="A4" s="5" t="inlineStr">
        <is>
          <t>📌 MASTER EXPEDITION PARAMETERS</t>
        </is>
      </c>
    </row>
    <row r="5" ht="23" customHeight="1">
      <c r="A5" s="6" t="inlineStr">
        <is>
          <t>Trip Title</t>
        </is>
      </c>
      <c r="B5" s="7" t="inlineStr">
        <is>
          <t>Kochi–Alleppey Coastal Scooter Escape</t>
        </is>
      </c>
      <c r="C5" s="3" t="n"/>
      <c r="D5" s="6" t="inlineStr">
        <is>
          <t>Travel Dates</t>
        </is>
      </c>
      <c r="E5" s="7" t="inlineStr">
        <is>
          <t>16th Oct (Fri) – 20th Oct (Tue) 2026</t>
        </is>
      </c>
      <c r="F5" s="2" t="n"/>
      <c r="G5" s="3" t="n"/>
    </row>
    <row r="6" ht="23" customHeight="1">
      <c r="A6" s="6" t="inlineStr">
        <is>
          <t>Origin Station</t>
        </is>
      </c>
      <c r="B6" s="7" t="inlineStr">
        <is>
          <t>Bengaluru (Vande Bharat Express)</t>
        </is>
      </c>
      <c r="C6" s="3" t="n"/>
      <c r="D6" s="6" t="inlineStr">
        <is>
          <t>Arrival Hub</t>
        </is>
      </c>
      <c r="E6" s="7" t="inlineStr">
        <is>
          <t>Ernakulam Junction Railway Station (ERS)</t>
        </is>
      </c>
      <c r="F6" s="2" t="n"/>
      <c r="G6" s="3" t="n"/>
    </row>
    <row r="7" ht="23" customHeight="1">
      <c r="A7" s="6" t="inlineStr">
        <is>
          <t>Duration &amp; Scope</t>
        </is>
      </c>
      <c r="B7" s="7" t="inlineStr">
        <is>
          <t>96 Hours (5 Days &amp; 4 Nights)</t>
        </is>
      </c>
      <c r="C7" s="3" t="n"/>
      <c r="D7" s="6" t="inlineStr">
        <is>
          <t>Total Circuit Distance</t>
        </is>
      </c>
      <c r="E7" s="7" t="inlineStr">
        <is>
          <t>~165 km (Coastal Highway + Local Exploration)</t>
        </is>
      </c>
      <c r="F7" s="2" t="n"/>
      <c r="G7" s="3" t="n"/>
    </row>
    <row r="8" ht="23" customHeight="1">
      <c r="A8" s="6" t="inlineStr">
        <is>
          <t>Riding Team</t>
        </is>
      </c>
      <c r="B8" s="7" t="inlineStr">
        <is>
          <t>Vishnu (Lead / Rider) &amp; Co-rider (Navigator)</t>
        </is>
      </c>
      <c r="C8" s="3" t="n"/>
      <c r="D8" s="6" t="inlineStr">
        <is>
          <t>Primary Transit</t>
        </is>
      </c>
      <c r="E8" s="7" t="inlineStr">
        <is>
          <t>Rented Scooter (Pickup &amp; Drop near ERS Station)</t>
        </is>
      </c>
      <c r="F8" s="2" t="n"/>
      <c r="G8" s="3" t="n"/>
    </row>
    <row r="9" ht="23" customHeight="1">
      <c r="A9" s="6" t="inlineStr">
        <is>
          <t>Base Camps</t>
        </is>
      </c>
      <c r="B9" s="7" t="inlineStr">
        <is>
          <t>Fort Kochi (N1), Alleppey Beach (N2-N3), Kumbalangi (N4)</t>
        </is>
      </c>
      <c r="C9" s="3" t="n"/>
      <c r="D9" s="6" t="inlineStr">
        <is>
          <t>Emergency Helplines</t>
        </is>
      </c>
      <c r="E9" s="7" t="inlineStr">
        <is>
          <t>Kerala Tourism: 1363 • Police: 112 • Ambulance: 108</t>
        </is>
      </c>
      <c r="F9" s="2" t="n"/>
      <c r="G9" s="3" t="n"/>
    </row>
    <row r="10" ht="23" customHeight="1">
      <c r="A10" s="6" t="inlineStr">
        <is>
          <t>Riding Protocol</t>
        </is>
      </c>
      <c r="B10" s="7" t="inlineStr">
        <is>
          <t>Strict ISI Helmets (AI Camera Surveillance Active)</t>
        </is>
      </c>
      <c r="C10" s="3" t="n"/>
      <c r="D10" s="6" t="inlineStr">
        <is>
          <t>Hydration Buffer</t>
        </is>
      </c>
      <c r="E10" s="7" t="inlineStr">
        <is>
          <t>Hydrate every 90 mins (Tender coconut / fresh lime)</t>
        </is>
      </c>
      <c r="F10" s="2" t="n"/>
      <c r="G10" s="3" t="n"/>
    </row>
    <row r="11"/>
    <row r="12" ht="26" customHeight="1">
      <c r="A12" s="5" t="inlineStr">
        <is>
          <t>🛑 CRITICAL HARD DEADLINES &amp; FIXED BOOKINGS</t>
        </is>
      </c>
    </row>
    <row r="13" ht="24" customHeight="1">
      <c r="A13" s="8" t="inlineStr">
        <is>
          <t>Event / Commitment</t>
        </is>
      </c>
      <c r="B13" s="8" t="inlineStr">
        <is>
          <t>Target Date &amp; Time</t>
        </is>
      </c>
      <c r="C13" s="8" t="inlineStr">
        <is>
          <t>Location / Platform</t>
        </is>
      </c>
      <c r="D13" s="8" t="inlineStr">
        <is>
          <t>Booking Status</t>
        </is>
      </c>
      <c r="E13" s="8" t="inlineStr">
        <is>
          <t>Cost / Balance</t>
        </is>
      </c>
      <c r="F13" s="8" t="inlineStr">
        <is>
          <t>Contact POC</t>
        </is>
      </c>
      <c r="G13" s="8" t="inlineStr">
        <is>
          <t>Operational Instructions</t>
        </is>
      </c>
    </row>
    <row r="14" ht="34" customHeight="1">
      <c r="A14" s="9" t="inlineStr">
        <is>
          <t>🚆 Outbound Train Arrival</t>
        </is>
      </c>
      <c r="B14" s="10" t="inlineStr">
        <is>
          <t>16 Oct 2026, 02:00 PM</t>
        </is>
      </c>
      <c r="C14" s="7" t="inlineStr">
        <is>
          <t>Ernakulam Junction (ERS)</t>
        </is>
      </c>
      <c r="D14" s="11" t="inlineStr">
        <is>
          <t>Booked</t>
        </is>
      </c>
      <c r="E14" s="12" t="inlineStr">
        <is>
          <t>₹1,708 / person</t>
        </is>
      </c>
      <c r="F14" s="13" t="inlineStr">
        <is>
          <t>Railways: 139</t>
        </is>
      </c>
      <c r="G14" s="7" t="inlineStr">
        <is>
          <t>Vande Bharat from Bengaluru. De-board, exit station towards South/Main gate for scooter pickup.</t>
        </is>
      </c>
    </row>
    <row r="15" ht="34" customHeight="1">
      <c r="A15" s="9" t="inlineStr">
        <is>
          <t>🛵 Scooter Pickup</t>
        </is>
      </c>
      <c r="B15" s="10" t="inlineStr">
        <is>
          <t>16 Oct 2026, 02:30 PM</t>
        </is>
      </c>
      <c r="C15" s="7" t="inlineStr">
        <is>
          <t>Near Ernakulam Junction</t>
        </is>
      </c>
      <c r="D15" s="11" t="inlineStr">
        <is>
          <t>Advance Paid ₹500</t>
        </is>
      </c>
      <c r="E15" s="12" t="inlineStr">
        <is>
          <t>₹2,800 Total (Bal: ₹2,300)</t>
        </is>
      </c>
      <c r="F15" s="13" t="inlineStr">
        <is>
          <t>Vendor: 9003955156</t>
        </is>
      </c>
      <c r="G15" s="7" t="inlineStr">
        <is>
          <t>Inspect vehicle, take 360° video &amp; odometer photo, verify RC &amp; insurance, check helmet straps.</t>
        </is>
      </c>
    </row>
    <row r="16" ht="34" customHeight="1">
      <c r="A16" s="9" t="inlineStr">
        <is>
          <t>🛶 Opulence Kayaking</t>
        </is>
      </c>
      <c r="B16" s="10" t="inlineStr">
        <is>
          <t>18 Oct 2026, 06:00 AM – 11:30 AM</t>
        </is>
      </c>
      <c r="C16" s="7" t="inlineStr">
        <is>
          <t>Kainakary Backwaters, Alleppey</t>
        </is>
      </c>
      <c r="D16" s="11" t="inlineStr">
        <is>
          <t>Booked Slot</t>
        </is>
      </c>
      <c r="E16" s="12" t="inlineStr">
        <is>
          <t>₹700 (Breakfast Incl.)</t>
        </is>
      </c>
      <c r="F16" s="13" t="inlineStr">
        <is>
          <t>Opulence: 8921172358</t>
        </is>
      </c>
      <c r="G16" s="7" t="inlineStr">
        <is>
          <t>Sunrise canal kayaking in Kuttanad. Breakfast included. Wake up at 5:15 AM! Bring waterproof pouch.</t>
        </is>
      </c>
    </row>
    <row r="17" ht="34" customHeight="1">
      <c r="A17" s="9" t="inlineStr">
        <is>
          <t>🛑 Scooter Return Target</t>
        </is>
      </c>
      <c r="B17" s="10" t="inlineStr">
        <is>
          <t>20 Oct 2026, 01:00 PM (Latest 1:30 PM)</t>
        </is>
      </c>
      <c r="C17" s="7" t="inlineStr">
        <is>
          <t>Near Ernakulam Junction</t>
        </is>
      </c>
      <c r="D17" s="11" t="inlineStr">
        <is>
          <t>Hard Return Deadline</t>
        </is>
      </c>
      <c r="E17" s="12" t="inlineStr">
        <is>
          <t>Settle Bal ₹2,300</t>
        </is>
      </c>
      <c r="F17" s="13" t="inlineStr">
        <is>
          <t>Vendor: 9003955156</t>
        </is>
      </c>
      <c r="G17" s="7" t="inlineStr">
        <is>
          <t>MUST leave Fort Kochi by 12:15 PM! Cross Willingdon Island to beat city traffic. Settle balance.</t>
        </is>
      </c>
    </row>
    <row r="18" ht="34" customHeight="1">
      <c r="A18" s="9" t="inlineStr">
        <is>
          <t>🚆 Return Train Departure</t>
        </is>
      </c>
      <c r="B18" s="10" t="inlineStr">
        <is>
          <t>20 Oct 2026, 02:00 PM Sharp</t>
        </is>
      </c>
      <c r="C18" s="7" t="inlineStr">
        <is>
          <t>Ernakulam Junction (Platform 1)</t>
        </is>
      </c>
      <c r="D18" s="11" t="inlineStr">
        <is>
          <t>Booked</t>
        </is>
      </c>
      <c r="E18" s="12" t="inlineStr">
        <is>
          <t>₹1,708 / person</t>
        </is>
      </c>
      <c r="F18" s="13" t="inlineStr">
        <is>
          <t>Railways: 139</t>
        </is>
      </c>
      <c r="G18" s="7" t="inlineStr">
        <is>
          <t>Vande Bharat to Bengaluru. Enter station by 1:30 PM, pass security, board coach by 1:45 PM sharp.</t>
        </is>
      </c>
    </row>
    <row r="19"/>
    <row r="20" ht="26" customHeight="1">
      <c r="A20" s="5" t="inlineStr">
        <is>
          <t>🗺 5-DAY CIRCUIT OVERVIEW &amp; BASE CAMPS</t>
        </is>
      </c>
    </row>
    <row r="21" ht="24" customHeight="1">
      <c r="A21" s="14" t="inlineStr">
        <is>
          <t>Day</t>
        </is>
      </c>
      <c r="B21" s="14" t="inlineStr">
        <is>
          <t>Date</t>
        </is>
      </c>
      <c r="C21" s="14" t="inlineStr">
        <is>
          <t>Theme &amp; Territory</t>
        </is>
      </c>
      <c r="D21" s="14" t="inlineStr">
        <is>
          <t>Primary Route</t>
        </is>
      </c>
      <c r="E21" s="14" t="inlineStr">
        <is>
          <t>Dist (km)</t>
        </is>
      </c>
      <c r="F21" s="14" t="inlineStr">
        <is>
          <t>Ride Time</t>
        </is>
      </c>
      <c r="G21" s="14" t="inlineStr">
        <is>
          <t>Night Base Camp &amp; Contact</t>
        </is>
      </c>
    </row>
    <row r="22" ht="32" customHeight="1">
      <c r="A22" s="10" t="inlineStr">
        <is>
          <t>Day 1</t>
        </is>
      </c>
      <c r="B22" s="13" t="inlineStr">
        <is>
          <t>16 Oct (Fri)</t>
        </is>
      </c>
      <c r="C22" s="9" t="inlineStr">
        <is>
          <t>Arrival, Mattancherry &amp; Fort Kochi Sunset</t>
        </is>
      </c>
      <c r="D22" s="7" t="inlineStr">
        <is>
          <t>ERS ➔ Calvin's Inn ➔ Warehouse Cafe ➔ Jew Town ➔ Manja Temple ➔ Chinese Nets ➔ Fort House</t>
        </is>
      </c>
      <c r="E22" s="13" t="inlineStr">
        <is>
          <t>22 km</t>
        </is>
      </c>
      <c r="F22" s="13" t="inlineStr">
        <is>
          <t>1h 10m</t>
        </is>
      </c>
      <c r="G22" s="9" t="inlineStr">
        <is>
          <t>Calvin's Inn, Fort Kochi (9995165493)</t>
        </is>
      </c>
    </row>
    <row r="23" ht="32" customHeight="1">
      <c r="A23" s="10" t="inlineStr">
        <is>
          <t>Day 2</t>
        </is>
      </c>
      <c r="B23" s="13" t="inlineStr">
        <is>
          <t>17 Oct (Sat)</t>
        </is>
      </c>
      <c r="C23" s="9" t="inlineStr">
        <is>
          <t>Heritage Quarter &amp; Coastal Ride to Alleppey</t>
        </is>
      </c>
      <c r="D23" s="7" t="inlineStr">
        <is>
          <t>Fort Kochi Walk ➔ Puthenthodu Beach ➔ Chellanam-Marari Coast ➔ Ocean Aura ➔ Lighthouse &amp; Pier</t>
        </is>
      </c>
      <c r="E23" s="13" t="inlineStr">
        <is>
          <t>68 km</t>
        </is>
      </c>
      <c r="F23" s="13" t="inlineStr">
        <is>
          <t>2h 20m</t>
        </is>
      </c>
      <c r="G23" s="9" t="inlineStr">
        <is>
          <t>Ocean Aura Beach Stay, Alleppey (7994455407)</t>
        </is>
      </c>
    </row>
    <row r="24" ht="32" customHeight="1">
      <c r="A24" s="10" t="inlineStr">
        <is>
          <t>Day 3</t>
        </is>
      </c>
      <c r="B24" s="13" t="inlineStr">
        <is>
          <t>18 Oct (Sun)</t>
        </is>
      </c>
      <c r="C24" s="9" t="inlineStr">
        <is>
          <t>Opulence Kayaking, Shaap Feast &amp; Marari Sunset</t>
        </is>
      </c>
      <c r="D24" s="7" t="inlineStr">
        <is>
          <t>Kainakary Kayaking ➔ No. 1 Kallu Shap ➔ Marari Beach Afternoon &amp; Sunset ➔ Ocean Aura</t>
        </is>
      </c>
      <c r="E24" s="13" t="inlineStr">
        <is>
          <t>32 km</t>
        </is>
      </c>
      <c r="F24" s="13" t="inlineStr">
        <is>
          <t>1h 10m</t>
        </is>
      </c>
      <c r="G24" s="9" t="inlineStr">
        <is>
          <t>Ocean Aura Beach Stay, Alleppey (7994455407)</t>
        </is>
      </c>
    </row>
    <row r="25" ht="32" customHeight="1">
      <c r="A25" s="10" t="inlineStr">
        <is>
          <t>Day 4</t>
        </is>
      </c>
      <c r="B25" s="13" t="inlineStr">
        <is>
          <t>19 Oct (Mon)</t>
        </is>
      </c>
      <c r="C25" s="9" t="inlineStr">
        <is>
          <t>Ambalappuzha Temple &amp; Kumbalangi Backwaters</t>
        </is>
      </c>
      <c r="D25" s="7" t="inlineStr">
        <is>
          <t>Ambalappuzha Temple ➔ Coastal Ride North ➔ Lunch in Kochi ➔ Zostel Kumbalangi ➔ Canoe / SUP</t>
        </is>
      </c>
      <c r="E25" s="13" t="inlineStr">
        <is>
          <t>75 km</t>
        </is>
      </c>
      <c r="F25" s="13" t="inlineStr">
        <is>
          <t>2h 35m</t>
        </is>
      </c>
      <c r="G25" s="9" t="inlineStr">
        <is>
          <t>Zostel Kumbalangi (0484 223 8899)</t>
        </is>
      </c>
    </row>
    <row r="26" ht="32" customHeight="1">
      <c r="A26" s="10" t="inlineStr">
        <is>
          <t>Day 5</t>
        </is>
      </c>
      <c r="B26" s="13" t="inlineStr">
        <is>
          <t>20 Oct (Tue)</t>
        </is>
      </c>
      <c r="C26" s="9" t="inlineStr">
        <is>
          <t>Water Metro, Kashi Brunch, Scooter Drop &amp; Departure</t>
        </is>
      </c>
      <c r="D26" s="7" t="inlineStr">
        <is>
          <t>Zostel Kumbalangi ➔ Fort Kochi Water Metro ➔ Kashi Art Cafe ➔ Scooter Return (1 PM) ➔ ERS Train (2 PM)</t>
        </is>
      </c>
      <c r="E26" s="13" t="inlineStr">
        <is>
          <t>28 km</t>
        </is>
      </c>
      <c r="F26" s="13" t="inlineStr">
        <is>
          <t>1h 15m</t>
        </is>
      </c>
      <c r="G26" s="9" t="inlineStr">
        <is>
          <t>Boarding Vande Bharat Express to Bengaluru</t>
        </is>
      </c>
    </row>
  </sheetData>
  <mergeCells count="17">
    <mergeCell ref="B6:C6"/>
    <mergeCell ref="E10:G10"/>
    <mergeCell ref="A1:G1"/>
    <mergeCell ref="B7:C7"/>
    <mergeCell ref="E5:G5"/>
    <mergeCell ref="B5:C5"/>
    <mergeCell ref="E8:G8"/>
    <mergeCell ref="A4:G4"/>
    <mergeCell ref="B10:C10"/>
    <mergeCell ref="A12:G12"/>
    <mergeCell ref="A20:G20"/>
    <mergeCell ref="A2:G2"/>
    <mergeCell ref="E9:G9"/>
    <mergeCell ref="B9:C9"/>
    <mergeCell ref="B8:C8"/>
    <mergeCell ref="E7:G7"/>
    <mergeCell ref="E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16" customWidth="1" min="4" max="4"/>
    <col width="60" customWidth="1" min="5" max="5"/>
    <col width="50" customWidth="1" min="6" max="6"/>
    <col width="29" customWidth="1" min="7" max="7"/>
    <col width="16" customWidth="1" min="8" max="8"/>
    <col width="26" customWidth="1" min="9" max="9"/>
    <col width="19" customWidth="1" min="10" max="10"/>
    <col width="65" customWidth="1" min="11" max="11"/>
  </cols>
  <sheetData>
    <row r="1" ht="42" customHeight="1">
      <c r="A1" s="1" t="inlineStr">
        <is>
          <t>🌴 COMPLETE 5-DAY MASTER ITINERARY &amp; CHRONOLOGICAL SCHEDULE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4" customHeight="1">
      <c r="A2" s="4" t="inlineStr">
        <is>
          <t>All Activities, Stops, Time Windows, Locations, Booking References, Costs, Contacts &amp; Operational Notes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3"/>
    <row r="4" ht="28" customHeight="1">
      <c r="A4" s="14" t="inlineStr">
        <is>
          <t>Day #</t>
        </is>
      </c>
      <c r="B4" s="14" t="inlineStr">
        <is>
          <t>Date</t>
        </is>
      </c>
      <c r="C4" s="14" t="inlineStr">
        <is>
          <t>Time Window</t>
        </is>
      </c>
      <c r="D4" s="14" t="inlineStr">
        <is>
          <t>Category</t>
        </is>
      </c>
      <c r="E4" s="14" t="inlineStr">
        <is>
          <t>Activity / Event Title</t>
        </is>
      </c>
      <c r="F4" s="14" t="inlineStr">
        <is>
          <t>Location / Venue</t>
        </is>
      </c>
      <c r="G4" s="14" t="inlineStr">
        <is>
          <t>Booking Status</t>
        </is>
      </c>
      <c r="H4" s="14" t="inlineStr">
        <is>
          <t>Est. Cost (₹)</t>
        </is>
      </c>
      <c r="I4" s="14" t="inlineStr">
        <is>
          <t>Contact POC</t>
        </is>
      </c>
      <c r="J4" s="14" t="inlineStr">
        <is>
          <t>Phone / Helpdesk</t>
        </is>
      </c>
      <c r="K4" s="14" t="inlineStr">
        <is>
          <t>Operational Guidelines, Cautions &amp; Navigation Notes</t>
        </is>
      </c>
    </row>
    <row r="5" ht="28" customHeight="1">
      <c r="A5" s="10" t="inlineStr">
        <is>
          <t>Day 1</t>
        </is>
      </c>
      <c r="B5" s="13" t="inlineStr">
        <is>
          <t>16 Oct (Fri)</t>
        </is>
      </c>
      <c r="C5" s="10" t="inlineStr">
        <is>
          <t>02:00 PM</t>
        </is>
      </c>
      <c r="D5" s="15" t="inlineStr">
        <is>
          <t>Transport</t>
        </is>
      </c>
      <c r="E5" s="9" t="inlineStr">
        <is>
          <t>🚆 Arrive at Ernakulam Junction (Vande Bharat Express)</t>
        </is>
      </c>
      <c r="F5" s="7" t="inlineStr">
        <is>
          <t>Ernakulam Junction Railway Station (ERS)</t>
        </is>
      </c>
      <c r="G5" s="10" t="inlineStr">
        <is>
          <t>Booked</t>
        </is>
      </c>
      <c r="H5" s="16" t="n">
        <v>1708</v>
      </c>
      <c r="I5" s="7" t="inlineStr">
        <is>
          <t>Station Helpdesk</t>
        </is>
      </c>
      <c r="J5" s="10" t="inlineStr">
        <is>
          <t>139</t>
        </is>
      </c>
      <c r="K5" s="7" t="inlineStr">
        <is>
          <t>De-board Vande Bharat (₹1,708/person). Freshen up at station waiting room, collect bags, head towards station exit for scooter pickup.</t>
        </is>
      </c>
    </row>
    <row r="6" ht="28" customHeight="1">
      <c r="A6" s="17" t="inlineStr">
        <is>
          <t>Day 1</t>
        </is>
      </c>
      <c r="B6" s="18" t="inlineStr">
        <is>
          <t>16 Oct (Fri)</t>
        </is>
      </c>
      <c r="C6" s="17" t="inlineStr">
        <is>
          <t>02:30 PM</t>
        </is>
      </c>
      <c r="D6" s="19" t="inlineStr">
        <is>
          <t>Transport</t>
        </is>
      </c>
      <c r="E6" s="20" t="inlineStr">
        <is>
          <t>🛵 Collect Scooter near Railway Station</t>
        </is>
      </c>
      <c r="F6" s="21" t="inlineStr">
        <is>
          <t>Near Ernakulam Junction Railway Station</t>
        </is>
      </c>
      <c r="G6" s="22" t="inlineStr">
        <is>
          <t>₹500 Advance Paid</t>
        </is>
      </c>
      <c r="H6" s="23" t="n">
        <v>2800</v>
      </c>
      <c r="I6" s="21" t="inlineStr">
        <is>
          <t>Rental Vendor</t>
        </is>
      </c>
      <c r="J6" s="17" t="inlineStr">
        <is>
          <t>9003955156</t>
        </is>
      </c>
      <c r="K6" s="21" t="inlineStr">
        <is>
          <t>Total ₹2,800 rental, ₹500 prepaid (balance ₹2,300 payable upon return on 20 Oct). Take 360° video of scooter body, inspect tyres, brakes, fuel gauge &amp; verify RC/insurance.</t>
        </is>
      </c>
    </row>
    <row r="7" ht="28" customHeight="1">
      <c r="A7" s="10" t="inlineStr">
        <is>
          <t>Day 1</t>
        </is>
      </c>
      <c r="B7" s="13" t="inlineStr">
        <is>
          <t>16 Oct (Fri)</t>
        </is>
      </c>
      <c r="C7" s="10" t="inlineStr">
        <is>
          <t>03:15 PM</t>
        </is>
      </c>
      <c r="D7" s="24" t="inlineStr">
        <is>
          <t>Accommodation</t>
        </is>
      </c>
      <c r="E7" s="9" t="inlineStr">
        <is>
          <t>🏨 Check-in at Calvin's Inn, Fort Kochi</t>
        </is>
      </c>
      <c r="F7" s="7" t="inlineStr">
        <is>
          <t>K.J. Herschel Road / Calvathy, Fort Kochi</t>
        </is>
      </c>
      <c r="G7" s="10" t="inlineStr">
        <is>
          <t>Booked</t>
        </is>
      </c>
      <c r="H7" s="16" t="n">
        <v>0</v>
      </c>
      <c r="I7" s="7" t="inlineStr">
        <is>
          <t>Calvin's Inn Host</t>
        </is>
      </c>
      <c r="J7" s="10" t="inlineStr">
        <is>
          <t>9995165493</t>
        </is>
      </c>
      <c r="K7" s="7" t="inlineStr">
        <is>
          <t>Quiet boutique homestay in Fort Kochi. Unload bags, freshen up quickly, and ride into Mattancherry for late afternoon lunch.</t>
        </is>
      </c>
    </row>
    <row r="8" ht="28" customHeight="1">
      <c r="A8" s="17" t="inlineStr">
        <is>
          <t>Day 1</t>
        </is>
      </c>
      <c r="B8" s="18" t="inlineStr">
        <is>
          <t>16 Oct (Fri)</t>
        </is>
      </c>
      <c r="C8" s="17" t="inlineStr">
        <is>
          <t>04:00 PM - 04:45 PM</t>
        </is>
      </c>
      <c r="D8" s="25" t="inlineStr">
        <is>
          <t>Restaurant</t>
        </is>
      </c>
      <c r="E8" s="20" t="inlineStr">
        <is>
          <t>🍽 Late Lunch: The Warehouse Cafe</t>
        </is>
      </c>
      <c r="F8" s="21" t="inlineStr">
        <is>
          <t>Bazaar Road, Mattancherry</t>
        </is>
      </c>
      <c r="G8" s="18" t="inlineStr">
        <is>
          <t>Walk-in</t>
        </is>
      </c>
      <c r="H8" s="23" t="n">
        <v>500</v>
      </c>
      <c r="I8" s="21" t="inlineStr">
        <is>
          <t>The Warehouse Cafe</t>
        </is>
      </c>
      <c r="J8" s="17" t="inlineStr">
        <is>
          <t>+91 484 222 3445</t>
        </is>
      </c>
      <c r="K8" s="21" t="inlineStr">
        <is>
          <t>Restored waterfront spice godown overlooking harbour shipping channel. Enjoy cold brew coffee, fish bites, or light sandwiches. (⭐ 4.2 / 5).</t>
        </is>
      </c>
    </row>
    <row r="9" ht="28" customHeight="1">
      <c r="A9" s="10" t="inlineStr">
        <is>
          <t>Day 1</t>
        </is>
      </c>
      <c r="B9" s="13" t="inlineStr">
        <is>
          <t>16 Oct (Fri)</t>
        </is>
      </c>
      <c r="C9" s="10" t="inlineStr">
        <is>
          <t>05:00 PM - 05:30 PM</t>
        </is>
      </c>
      <c r="D9" s="26" t="inlineStr">
        <is>
          <t>Sightseeing</t>
        </is>
      </c>
      <c r="E9" s="9" t="inlineStr">
        <is>
          <t>🏛 Mattancherry Palace (Dutch Palace) Grounds &amp; Exterior</t>
        </is>
      </c>
      <c r="F9" s="7" t="inlineStr">
        <is>
          <t>Palace Road, Mattancherry</t>
        </is>
      </c>
      <c r="G9" s="13" t="inlineStr">
        <is>
          <t>Grounds Free</t>
        </is>
      </c>
      <c r="H9" s="16" t="n">
        <v>0</v>
      </c>
      <c r="I9" s="7" t="inlineStr">
        <is>
          <t>ASI Helpdesk</t>
        </is>
      </c>
      <c r="J9" s="10" t="inlineStr">
        <is>
          <t>-</t>
        </is>
      </c>
      <c r="K9" s="7" t="inlineStr">
        <is>
          <t>⚠️ Notice: Interior museum is CLOSED on Fridays (ASI weekly closure). External 1555 Portuguese-Dutch architecture, temple pond &amp; courtyard are open.</t>
        </is>
      </c>
    </row>
    <row r="10" ht="28" customHeight="1">
      <c r="A10" s="17" t="inlineStr">
        <is>
          <t>Day 1</t>
        </is>
      </c>
      <c r="B10" s="18" t="inlineStr">
        <is>
          <t>16 Oct (Fri)</t>
        </is>
      </c>
      <c r="C10" s="17" t="inlineStr">
        <is>
          <t>05:30 PM - 06:15 PM</t>
        </is>
      </c>
      <c r="D10" s="27" t="inlineStr">
        <is>
          <t>Sightseeing</t>
        </is>
      </c>
      <c r="E10" s="20" t="inlineStr">
        <is>
          <t>🕍 Jew Town Stroll &amp; Paradesi Synagogue Exterior</t>
        </is>
      </c>
      <c r="F10" s="21" t="inlineStr">
        <is>
          <t>Synagogue Lane, Jew Town, Mattancherry</t>
        </is>
      </c>
      <c r="G10" s="18" t="inlineStr">
        <is>
          <t>Walk-in</t>
        </is>
      </c>
      <c r="H10" s="23" t="n">
        <v>0</v>
      </c>
      <c r="I10" s="21" t="inlineStr">
        <is>
          <t>Jew Town Trust</t>
        </is>
      </c>
      <c r="J10" s="17" t="inlineStr">
        <is>
          <t>-</t>
        </is>
      </c>
      <c r="K10" s="21" t="inlineStr">
        <is>
          <t>⚠️ Shabbat Closure: Synagogue interior closed Fri &amp; Sat. Enjoy cobblestone spice street, antique showrooms, and the 1568 clock tower exterior.</t>
        </is>
      </c>
    </row>
    <row r="11" ht="28" customHeight="1">
      <c r="A11" s="10" t="inlineStr">
        <is>
          <t>Day 1</t>
        </is>
      </c>
      <c r="B11" s="13" t="inlineStr">
        <is>
          <t>16 Oct (Fri)</t>
        </is>
      </c>
      <c r="C11" s="10" t="inlineStr">
        <is>
          <t>06:15 PM - 06:45 PM</t>
        </is>
      </c>
      <c r="D11" s="11" t="inlineStr">
        <is>
          <t>Restaurant</t>
        </is>
      </c>
      <c r="E11" s="9" t="inlineStr">
        <is>
          <t>☕ Coffee Break: Ginger House / Cafe Crafters</t>
        </is>
      </c>
      <c r="F11" s="7" t="inlineStr">
        <is>
          <t>Jew Town Waterfront, Mattancherry</t>
        </is>
      </c>
      <c r="G11" s="13" t="inlineStr">
        <is>
          <t>Walk-in</t>
        </is>
      </c>
      <c r="H11" s="16" t="n">
        <v>250</v>
      </c>
      <c r="I11" s="7" t="inlineStr">
        <is>
          <t>Ginger House Restaurant</t>
        </is>
      </c>
      <c r="J11" s="10" t="inlineStr">
        <is>
          <t>+91 484 221 3456</t>
        </is>
      </c>
      <c r="K11" s="7" t="inlineStr">
        <is>
          <t>Sip signature iced ginger tea right on the water deck beside the 108-foot antique snake boat, or enjoy cardamom filter coffee.</t>
        </is>
      </c>
    </row>
    <row r="12" ht="28" customHeight="1">
      <c r="A12" s="17" t="inlineStr">
        <is>
          <t>Day 1</t>
        </is>
      </c>
      <c r="B12" s="18" t="inlineStr">
        <is>
          <t>16 Oct (Fri)</t>
        </is>
      </c>
      <c r="C12" s="17" t="inlineStr">
        <is>
          <t>06:45 PM - 07:15 PM</t>
        </is>
      </c>
      <c r="D12" s="28" t="inlineStr">
        <is>
          <t>Temple</t>
        </is>
      </c>
      <c r="E12" s="20" t="inlineStr">
        <is>
          <t>🛕 Manja Bhagavathi Temple (Cherlai)</t>
        </is>
      </c>
      <c r="F12" s="21" t="inlineStr">
        <is>
          <t>Cherlai Enclave, Mattancherry</t>
        </is>
      </c>
      <c r="G12" s="18" t="inlineStr">
        <is>
          <t>Free Entry (Modest Attire)</t>
        </is>
      </c>
      <c r="H12" s="23" t="n">
        <v>0</v>
      </c>
      <c r="I12" s="21" t="inlineStr">
        <is>
          <t>Temple Board</t>
        </is>
      </c>
      <c r="J12" s="17" t="inlineStr">
        <is>
          <t>-</t>
        </is>
      </c>
      <c r="K12" s="21" t="inlineStr">
        <is>
          <t>⭐ Off-Beat Sacred Gem! Dedicated to Goddess Bhadrakali in Konkani heritage enclave. Famous for sacred turmeric (manja) offerings &amp; evening oil lamps.</t>
        </is>
      </c>
    </row>
    <row r="13" ht="28" customHeight="1">
      <c r="A13" s="10" t="inlineStr">
        <is>
          <t>Day 1</t>
        </is>
      </c>
      <c r="B13" s="13" t="inlineStr">
        <is>
          <t>16 Oct (Fri)</t>
        </is>
      </c>
      <c r="C13" s="10" t="inlineStr">
        <is>
          <t>07:30 PM - 08:15 PM</t>
        </is>
      </c>
      <c r="D13" s="26" t="inlineStr">
        <is>
          <t>Sightseeing</t>
        </is>
      </c>
      <c r="E13" s="9" t="inlineStr">
        <is>
          <t>🌅 Chinese Fishing Nets &amp; Vasco da Gama Square Dusk</t>
        </is>
      </c>
      <c r="F13" s="7" t="inlineStr">
        <is>
          <t>River Road / Vasco da Gama Sq, Fort Kochi</t>
        </is>
      </c>
      <c r="G13" s="13" t="inlineStr">
        <is>
          <t>Public Promenade</t>
        </is>
      </c>
      <c r="H13" s="16" t="n">
        <v>0</v>
      </c>
      <c r="I13" s="7" t="inlineStr">
        <is>
          <t>Heritage Council</t>
        </is>
      </c>
      <c r="J13" s="10" t="inlineStr">
        <is>
          <t>-</t>
        </is>
      </c>
      <c r="K13" s="7" t="inlineStr">
        <is>
          <t>Cantilevered 14th-century fishing nets silhouetted against the Arabian sea mouth. Stroll the breezy promenade and watch fishermen haul counterweights.</t>
        </is>
      </c>
    </row>
    <row r="14" ht="28" customHeight="1">
      <c r="A14" s="17" t="inlineStr">
        <is>
          <t>Day 1</t>
        </is>
      </c>
      <c r="B14" s="18" t="inlineStr">
        <is>
          <t>16 Oct (Fri)</t>
        </is>
      </c>
      <c r="C14" s="17" t="inlineStr">
        <is>
          <t>08:30 PM - 09:45 PM</t>
        </is>
      </c>
      <c r="D14" s="25" t="inlineStr">
        <is>
          <t>Restaurant</t>
        </is>
      </c>
      <c r="E14" s="20" t="inlineStr">
        <is>
          <t>🍽 Waterfront Dinner: Fort House Restaurant</t>
        </is>
      </c>
      <c r="F14" s="21" t="inlineStr">
        <is>
          <t>2/6A Calvathy Road, Fort Kochi</t>
        </is>
      </c>
      <c r="G14" s="18" t="inlineStr">
        <is>
          <t>Recommended to Call</t>
        </is>
      </c>
      <c r="H14" s="23" t="n">
        <v>850</v>
      </c>
      <c r="I14" s="21" t="inlineStr">
        <is>
          <t>Fort House Reception</t>
        </is>
      </c>
      <c r="J14" s="17" t="inlineStr">
        <is>
          <t>+91 484 221 7103</t>
        </is>
      </c>
      <c r="K14" s="21" t="inlineStr">
        <is>
          <t>Romantic open-air timber jetty restaurant over Cochin harbor. Famous for Karimeen Pollichathu, Kerala prawn curry, appams &amp; coconut pudding. (⭐ 4.4 / 5).</t>
        </is>
      </c>
    </row>
    <row r="15" ht="28" customHeight="1">
      <c r="A15" s="10" t="inlineStr">
        <is>
          <t>Day 1</t>
        </is>
      </c>
      <c r="B15" s="13" t="inlineStr">
        <is>
          <t>16 Oct (Fri)</t>
        </is>
      </c>
      <c r="C15" s="10" t="inlineStr">
        <is>
          <t>10:00 PM - 10:45 PM</t>
        </is>
      </c>
      <c r="D15" s="11" t="inlineStr">
        <is>
          <t>Restaurant</t>
        </is>
      </c>
      <c r="E15" s="9" t="inlineStr">
        <is>
          <t>🍰 Cheesecake &amp; Nightcap: Trouvaille</t>
        </is>
      </c>
      <c r="F15" s="7" t="inlineStr">
        <is>
          <t>Bastian Street, Fort Kochi</t>
        </is>
      </c>
      <c r="G15" s="13" t="inlineStr">
        <is>
          <t>Walk-in</t>
        </is>
      </c>
      <c r="H15" s="16" t="n">
        <v>300</v>
      </c>
      <c r="I15" s="7" t="inlineStr">
        <is>
          <t>Trouvaille Cafe</t>
        </is>
      </c>
      <c r="J15" s="10" t="inlineStr">
        <is>
          <t>+91 80860 99933</t>
        </is>
      </c>
      <c r="K15" s="7" t="inlineStr">
        <is>
          <t>Parisian boutique patisserie in Fort Kochi. Signature Burnt Basque Cheesecake, dark chocolate tarts &amp; artisanal gelato. (Open till 10:30 PM).</t>
        </is>
      </c>
    </row>
    <row r="16" ht="28" customHeight="1">
      <c r="A16" s="17" t="inlineStr">
        <is>
          <t>Day 1</t>
        </is>
      </c>
      <c r="B16" s="18" t="inlineStr">
        <is>
          <t>16 Oct (Fri)</t>
        </is>
      </c>
      <c r="C16" s="17" t="inlineStr">
        <is>
          <t>11:00 PM</t>
        </is>
      </c>
      <c r="D16" s="29" t="inlineStr">
        <is>
          <t>Rest</t>
        </is>
      </c>
      <c r="E16" s="20" t="inlineStr">
        <is>
          <t>🌙 Night Rest at Calvin's Inn</t>
        </is>
      </c>
      <c r="F16" s="21" t="inlineStr">
        <is>
          <t>Calvin's Inn, Fort Kochi</t>
        </is>
      </c>
      <c r="G16" s="17" t="inlineStr">
        <is>
          <t>Booked</t>
        </is>
      </c>
      <c r="H16" s="23" t="n">
        <v>0</v>
      </c>
      <c r="I16" s="21" t="inlineStr">
        <is>
          <t>Host</t>
        </is>
      </c>
      <c r="J16" s="17" t="inlineStr">
        <is>
          <t>9995165493</t>
        </is>
      </c>
      <c r="K16" s="21" t="inlineStr">
        <is>
          <t>Charge devices, hydrate, get solid rest for Saturday morning heritage walk &amp; coastal ride to Alleppey.</t>
        </is>
      </c>
    </row>
    <row r="17" ht="28" customHeight="1">
      <c r="A17" s="10" t="inlineStr">
        <is>
          <t>Day 2</t>
        </is>
      </c>
      <c r="B17" s="13" t="inlineStr">
        <is>
          <t>17 Oct (Sat)</t>
        </is>
      </c>
      <c r="C17" s="10" t="inlineStr">
        <is>
          <t>08:00 AM - 09:00 AM</t>
        </is>
      </c>
      <c r="D17" s="11" t="inlineStr">
        <is>
          <t>Restaurant</t>
        </is>
      </c>
      <c r="E17" s="9" t="inlineStr">
        <is>
          <t>🍳 Breakfast at Qissa Cafe or Pandhal Deli (David Hall)</t>
        </is>
      </c>
      <c r="F17" s="7" t="inlineStr">
        <is>
          <t>KB Jacob Rd (Qissa) / Parade Ground (Pandhal)</t>
        </is>
      </c>
      <c r="G17" s="13" t="inlineStr">
        <is>
          <t>Walk-in</t>
        </is>
      </c>
      <c r="H17" s="16" t="n">
        <v>350</v>
      </c>
      <c r="I17" s="7" t="inlineStr">
        <is>
          <t>Qissa Cafe</t>
        </is>
      </c>
      <c r="J17" s="10" t="inlineStr">
        <is>
          <t>+91 484 221 6806</t>
        </is>
      </c>
      <c r="K17" s="7" t="inlineStr">
        <is>
          <t>Qissa is 2 mins walk from Calvin's Inn (shakshuka, banana pancakes, pour-over). Pandhal David Hall offers European courtyard dining under rain trees.</t>
        </is>
      </c>
    </row>
    <row r="18" ht="28" customHeight="1">
      <c r="A18" s="17" t="inlineStr">
        <is>
          <t>Day 2</t>
        </is>
      </c>
      <c r="B18" s="18" t="inlineStr">
        <is>
          <t>17 Oct (Sat)</t>
        </is>
      </c>
      <c r="C18" s="17" t="inlineStr">
        <is>
          <t>09:15 AM - 09:45 AM</t>
        </is>
      </c>
      <c r="D18" s="27" t="inlineStr">
        <is>
          <t>Sightseeing</t>
        </is>
      </c>
      <c r="E18" s="20" t="inlineStr">
        <is>
          <t>⛪ St. Francis CSI Church (India's Oldest European Church)</t>
        </is>
      </c>
      <c r="F18" s="21" t="inlineStr">
        <is>
          <t>Opposite Parade Ground, Fort Kochi</t>
        </is>
      </c>
      <c r="G18" s="18" t="inlineStr">
        <is>
          <t>Free Entry</t>
        </is>
      </c>
      <c r="H18" s="23" t="n">
        <v>0</v>
      </c>
      <c r="I18" s="21" t="inlineStr">
        <is>
          <t>Church Trust</t>
        </is>
      </c>
      <c r="J18" s="17" t="inlineStr">
        <is>
          <t>-</t>
        </is>
      </c>
      <c r="K18" s="21" t="inlineStr">
        <is>
          <t>Built 1503. Historic burial place of Portuguese explorer Vasco da Gama who died in Kochi in 1524. Timber ceiling with punkahs and gravestones.</t>
        </is>
      </c>
    </row>
    <row r="19" ht="28" customHeight="1">
      <c r="A19" s="10" t="inlineStr">
        <is>
          <t>Day 2</t>
        </is>
      </c>
      <c r="B19" s="13" t="inlineStr">
        <is>
          <t>17 Oct (Sat)</t>
        </is>
      </c>
      <c r="C19" s="10" t="inlineStr">
        <is>
          <t>09:45 AM - 10:45 AM</t>
        </is>
      </c>
      <c r="D19" s="26" t="inlineStr">
        <is>
          <t>Sightseeing</t>
        </is>
      </c>
      <c r="E19" s="9" t="inlineStr">
        <is>
          <t>🏘 Colonial Heritage Quarter Loop</t>
        </is>
      </c>
      <c r="F19" s="7" t="inlineStr">
        <is>
          <t>Princess St, Peter Celli St &amp; Burgher St</t>
        </is>
      </c>
      <c r="G19" s="13" t="inlineStr">
        <is>
          <t>Walk-in</t>
        </is>
      </c>
      <c r="H19" s="16" t="n">
        <v>150</v>
      </c>
      <c r="I19" s="7" t="inlineStr">
        <is>
          <t>Heritage Trail</t>
        </is>
      </c>
      <c r="J19" s="10" t="inlineStr">
        <is>
          <t>-</t>
        </is>
      </c>
      <c r="K19" s="7" t="inlineStr">
        <is>
          <t>Compact walkable colonial cluster. Pastel Portuguese villas, bougainvillea balconies, street bookstalls, and Peter Celli craft burger corner.</t>
        </is>
      </c>
    </row>
    <row r="20" ht="28" customHeight="1">
      <c r="A20" s="17" t="inlineStr">
        <is>
          <t>Day 2</t>
        </is>
      </c>
      <c r="B20" s="18" t="inlineStr">
        <is>
          <t>17 Oct (Sat)</t>
        </is>
      </c>
      <c r="C20" s="17" t="inlineStr">
        <is>
          <t>10:45 AM - 11:30 AM</t>
        </is>
      </c>
      <c r="D20" s="25" t="inlineStr">
        <is>
          <t>Restaurant</t>
        </is>
      </c>
      <c r="E20" s="20" t="inlineStr">
        <is>
          <t>📖 Snack &amp; Indie Books: Loafer's Corner / Printed Matter</t>
        </is>
      </c>
      <c r="F20" s="21" t="inlineStr">
        <is>
          <t>Princess Street &amp; Calvathy Road</t>
        </is>
      </c>
      <c r="G20" s="18" t="inlineStr">
        <is>
          <t>Walk-in</t>
        </is>
      </c>
      <c r="H20" s="23" t="n">
        <v>250</v>
      </c>
      <c r="I20" s="21" t="inlineStr">
        <is>
          <t>Loafer's Corner</t>
        </is>
      </c>
      <c r="J20" s="17" t="inlineStr">
        <is>
          <t>+91 484 221 8202</t>
        </is>
      </c>
      <c r="K20" s="21" t="inlineStr">
        <is>
          <t>Browse curated indie art zines at Printed Matter. Grab Sulaimani tea &amp; Pazham Pori at Kerala Cafe, or climb into Loafer's Corner vintage wooden attic.</t>
        </is>
      </c>
    </row>
    <row r="21" ht="28" customHeight="1">
      <c r="A21" s="10" t="inlineStr">
        <is>
          <t>Day 2</t>
        </is>
      </c>
      <c r="B21" s="13" t="inlineStr">
        <is>
          <t>17 Oct (Sat)</t>
        </is>
      </c>
      <c r="C21" s="10" t="inlineStr">
        <is>
          <t>11:30 AM - 12:15 PM</t>
        </is>
      </c>
      <c r="D21" s="26" t="inlineStr">
        <is>
          <t>Sightseeing</t>
        </is>
      </c>
      <c r="E21" s="9" t="inlineStr">
        <is>
          <t>⛪ Santa Cruz Cathedral Basilica</t>
        </is>
      </c>
      <c r="F21" s="7" t="inlineStr">
        <is>
          <t>K.J. Herschel Road / Bastion Street</t>
        </is>
      </c>
      <c r="G21" s="13" t="inlineStr">
        <is>
          <t>Free Entry</t>
        </is>
      </c>
      <c r="H21" s="16" t="n">
        <v>0</v>
      </c>
      <c r="I21" s="7" t="inlineStr">
        <is>
          <t>Diocese of Cochin</t>
        </is>
      </c>
      <c r="J21" s="10" t="inlineStr">
        <is>
          <t>-</t>
        </is>
      </c>
      <c r="K21" s="7" t="inlineStr">
        <is>
          <t>One of India's 8 Basilicas. Magnificent whitewashed twin Gothic spires, Italian frescoed ceilings of the Passion of Christ, and stained glass windows.</t>
        </is>
      </c>
    </row>
    <row r="22" ht="28" customHeight="1">
      <c r="A22" s="17" t="inlineStr">
        <is>
          <t>Day 2</t>
        </is>
      </c>
      <c r="B22" s="18" t="inlineStr">
        <is>
          <t>17 Oct (Sat)</t>
        </is>
      </c>
      <c r="C22" s="17" t="inlineStr">
        <is>
          <t>12:30 PM - 01:00 PM</t>
        </is>
      </c>
      <c r="D22" s="19" t="inlineStr">
        <is>
          <t>Transport</t>
        </is>
      </c>
      <c r="E22" s="20" t="inlineStr">
        <is>
          <t>📦 Check out Calvin's Inn &amp; Begin Coastal Ride</t>
        </is>
      </c>
      <c r="F22" s="21" t="inlineStr">
        <is>
          <t>Calvin's Inn, Fort Kochi</t>
        </is>
      </c>
      <c r="G22" s="18" t="inlineStr">
        <is>
          <t>Check-out</t>
        </is>
      </c>
      <c r="H22" s="23" t="n">
        <v>0</v>
      </c>
      <c r="I22" s="21" t="inlineStr">
        <is>
          <t>Host</t>
        </is>
      </c>
      <c r="J22" s="17" t="inlineStr">
        <is>
          <t>9995165493</t>
        </is>
      </c>
      <c r="K22" s="21" t="inlineStr">
        <is>
          <t>Secure bags onto scooter footboard/carrier. Fuel up near Thoppumpady before hitting coastal road heading south towards Alleppey.</t>
        </is>
      </c>
    </row>
    <row r="23" ht="28" customHeight="1">
      <c r="A23" s="10" t="inlineStr">
        <is>
          <t>Day 2</t>
        </is>
      </c>
      <c r="B23" s="13" t="inlineStr">
        <is>
          <t>17 Oct (Sat)</t>
        </is>
      </c>
      <c r="C23" s="10" t="inlineStr">
        <is>
          <t>01:30 PM - 02:15 PM</t>
        </is>
      </c>
      <c r="D23" s="26" t="inlineStr">
        <is>
          <t>Beach</t>
        </is>
      </c>
      <c r="E23" s="9" t="inlineStr">
        <is>
          <t>🌊 Seaside Stop: Puthenthodu Beach (Chellanam)</t>
        </is>
      </c>
      <c r="F23" s="7" t="inlineStr">
        <is>
          <t>Puthenthodu Beach, Chellanam Coastal Road</t>
        </is>
      </c>
      <c r="G23" s="13" t="inlineStr">
        <is>
          <t>Open Beach</t>
        </is>
      </c>
      <c r="H23" s="16" t="n">
        <v>0</v>
      </c>
      <c r="I23" s="7" t="inlineStr">
        <is>
          <t>Coastal Council</t>
        </is>
      </c>
      <c r="J23" s="10" t="inlineStr">
        <is>
          <t>-</t>
        </is>
      </c>
      <c r="K23" s="7" t="inlineStr">
        <is>
          <t>⭐ Breathtaking granite sea-wall coastal break! Waves crashing against giant tetrapods, salty sea spray, and quiet roadside tender coconut stalls.</t>
        </is>
      </c>
    </row>
    <row r="24" ht="28" customHeight="1">
      <c r="A24" s="17" t="inlineStr">
        <is>
          <t>Day 2</t>
        </is>
      </c>
      <c r="B24" s="18" t="inlineStr">
        <is>
          <t>17 Oct (Sat)</t>
        </is>
      </c>
      <c r="C24" s="17" t="inlineStr">
        <is>
          <t>02:15 PM - 03:30 PM</t>
        </is>
      </c>
      <c r="D24" s="19" t="inlineStr">
        <is>
          <t>Transport</t>
        </is>
      </c>
      <c r="E24" s="20" t="inlineStr">
        <is>
          <t>🛵 Ride Chellanam–Andhakaranazhi–Marari Coastal Road</t>
        </is>
      </c>
      <c r="F24" s="21" t="inlineStr">
        <is>
          <t>Chellanam ➔ Andhakaranazhi ➔ Mararikulam</t>
        </is>
      </c>
      <c r="G24" s="18" t="inlineStr">
        <is>
          <t>Scenic Highway</t>
        </is>
      </c>
      <c r="H24" s="23" t="n">
        <v>0</v>
      </c>
      <c r="I24" s="21" t="inlineStr">
        <is>
          <t>Kerala PWD</t>
        </is>
      </c>
      <c r="J24" s="17" t="inlineStr">
        <is>
          <t>-</t>
        </is>
      </c>
      <c r="K24" s="21" t="inlineStr">
        <is>
          <t>Scenic coastal scooter road hugging Arabian sea. Thick coconut groves, backwaters on left and crashing surf on right. Avoid riding onto loose beach sand.</t>
        </is>
      </c>
    </row>
    <row r="25" ht="28" customHeight="1">
      <c r="A25" s="10" t="inlineStr">
        <is>
          <t>Day 2</t>
        </is>
      </c>
      <c r="B25" s="13" t="inlineStr">
        <is>
          <t>17 Oct (Sat)</t>
        </is>
      </c>
      <c r="C25" s="10" t="inlineStr">
        <is>
          <t>03:30 PM - 04:15 PM</t>
        </is>
      </c>
      <c r="D25" s="26" t="inlineStr">
        <is>
          <t>Beach</t>
        </is>
      </c>
      <c r="E25" s="9" t="inlineStr">
        <is>
          <t>🌴 Break: Andhakaranazhi Beach &amp; Lagoon Bridge</t>
        </is>
      </c>
      <c r="F25" s="7" t="inlineStr">
        <is>
          <t>Andhakaranazhi Beach, Pattanakkad</t>
        </is>
      </c>
      <c r="G25" s="13" t="inlineStr">
        <is>
          <t>Open Beach</t>
        </is>
      </c>
      <c r="H25" s="16" t="n">
        <v>50</v>
      </c>
      <c r="I25" s="7" t="inlineStr">
        <is>
          <t>Alappuzha DTPC</t>
        </is>
      </c>
      <c r="J25" s="10" t="inlineStr">
        <is>
          <t>-</t>
        </is>
      </c>
      <c r="K25" s="7" t="inlineStr">
        <is>
          <t>Stunning spot where backwater lagoon merges with ocean through aerial bridge walkway. Grab fresh coconut water and snap coastal photos.</t>
        </is>
      </c>
    </row>
    <row r="26" ht="28" customHeight="1">
      <c r="A26" s="17" t="inlineStr">
        <is>
          <t>Day 2</t>
        </is>
      </c>
      <c r="B26" s="18" t="inlineStr">
        <is>
          <t>17 Oct (Sat)</t>
        </is>
      </c>
      <c r="C26" s="17" t="inlineStr">
        <is>
          <t>04:45 PM - 05:15 PM</t>
        </is>
      </c>
      <c r="D26" s="29" t="inlineStr">
        <is>
          <t>Accommodation</t>
        </is>
      </c>
      <c r="E26" s="20" t="inlineStr">
        <is>
          <t>🏨 Check-in at Ocean Aura Beach Stay</t>
        </is>
      </c>
      <c r="F26" s="21" t="inlineStr">
        <is>
          <t>Munnodi Temple Road, Thumpoly Beach, Alleppey</t>
        </is>
      </c>
      <c r="G26" s="17" t="inlineStr">
        <is>
          <t>Booked</t>
        </is>
      </c>
      <c r="H26" s="23" t="n">
        <v>0</v>
      </c>
      <c r="I26" s="21" t="inlineStr">
        <is>
          <t>Host Contact</t>
        </is>
      </c>
      <c r="J26" s="17" t="inlineStr">
        <is>
          <t>7994455407</t>
        </is>
      </c>
      <c r="K26" s="21" t="inlineStr">
        <is>
          <t>Beachfront stay on Thumpoly Beach. Unload bags, wash off road dust, head immediately to Alleppey Lighthouse before 5:00 PM ticket counter cutoff!</t>
        </is>
      </c>
    </row>
    <row r="27" ht="28" customHeight="1">
      <c r="A27" s="10" t="inlineStr">
        <is>
          <t>Day 2</t>
        </is>
      </c>
      <c r="B27" s="13" t="inlineStr">
        <is>
          <t>17 Oct (Sat)</t>
        </is>
      </c>
      <c r="C27" s="10" t="inlineStr">
        <is>
          <t>05:15 PM - 05:45 PM</t>
        </is>
      </c>
      <c r="D27" s="26" t="inlineStr">
        <is>
          <t>Sightseeing</t>
        </is>
      </c>
      <c r="E27" s="9" t="inlineStr">
        <is>
          <t>🚨 Alleppey Lighthouse (Climb Spiral Staircase)</t>
        </is>
      </c>
      <c r="F27" s="7" t="inlineStr">
        <is>
          <t>Civil Station Ward, Alappuzha Beach</t>
        </is>
      </c>
      <c r="G27" s="13" t="inlineStr">
        <is>
          <t>Ticket ₹20</t>
        </is>
      </c>
      <c r="H27" s="16" t="n">
        <v>20</v>
      </c>
      <c r="I27" s="7" t="inlineStr">
        <is>
          <t>DTPC Alappuzha</t>
        </is>
      </c>
      <c r="J27" s="10" t="inlineStr">
        <is>
          <t>-</t>
        </is>
      </c>
      <c r="K27" s="7" t="inlineStr">
        <is>
          <t>⚠️ Cutoff Alert: Hours 2:00 PM – 5:30 PM (entry ticket cutoff 5:00 PM). Shoes off at base. Climb 100+ wooden spiral steps for 360° panoramic views.</t>
        </is>
      </c>
    </row>
    <row r="28" ht="28" customHeight="1">
      <c r="A28" s="17" t="inlineStr">
        <is>
          <t>Day 2</t>
        </is>
      </c>
      <c r="B28" s="18" t="inlineStr">
        <is>
          <t>17 Oct (Sat)</t>
        </is>
      </c>
      <c r="C28" s="17" t="inlineStr">
        <is>
          <t>05:45 PM - 07:00 PM</t>
        </is>
      </c>
      <c r="D28" s="27" t="inlineStr">
        <is>
          <t>Beach</t>
        </is>
      </c>
      <c r="E28" s="20" t="inlineStr">
        <is>
          <t>🌅 Sunset at Alleppey Beach &amp; Old Sea Pier</t>
        </is>
      </c>
      <c r="F28" s="21" t="inlineStr">
        <is>
          <t>Alappuzha Beach Front</t>
        </is>
      </c>
      <c r="G28" s="18" t="inlineStr">
        <is>
          <t>Open Beach</t>
        </is>
      </c>
      <c r="H28" s="23" t="n">
        <v>0</v>
      </c>
      <c r="I28" s="21" t="inlineStr">
        <is>
          <t>Kerala Tourism</t>
        </is>
      </c>
      <c r="J28" s="17" t="inlineStr">
        <is>
          <t>-</t>
        </is>
      </c>
      <c r="K28" s="21" t="inlineStr">
        <is>
          <t>Historic 150-year-old teak sea pier extending into the waves. Stroll the sands, enjoy roasted peanuts, and watch golden sunset over the Arabian Sea.</t>
        </is>
      </c>
    </row>
    <row r="29" ht="28" customHeight="1">
      <c r="A29" s="10" t="inlineStr">
        <is>
          <t>Day 2</t>
        </is>
      </c>
      <c r="B29" s="13" t="inlineStr">
        <is>
          <t>17 Oct (Sat)</t>
        </is>
      </c>
      <c r="C29" s="10" t="inlineStr">
        <is>
          <t>07:30 PM - 09:15 PM</t>
        </is>
      </c>
      <c r="D29" s="11" t="inlineStr">
        <is>
          <t>Restaurant</t>
        </is>
      </c>
      <c r="E29" s="9" t="inlineStr">
        <is>
          <t>🍽 Dinner at Cafe Catamaran</t>
        </is>
      </c>
      <c r="F29" s="7" t="inlineStr">
        <is>
          <t>Alappuzha Beach Road, Kanjiramchira</t>
        </is>
      </c>
      <c r="G29" s="13" t="inlineStr">
        <is>
          <t>Walk-in</t>
        </is>
      </c>
      <c r="H29" s="16" t="n">
        <v>450</v>
      </c>
      <c r="I29" s="7" t="inlineStr">
        <is>
          <t>Cafe Catamaran</t>
        </is>
      </c>
      <c r="J29" s="10" t="inlineStr">
        <is>
          <t>+91 97455 52200</t>
        </is>
      </c>
      <c r="K29" s="7" t="inlineStr">
        <is>
          <t>Open-air beachfront cafe overlooking the dark waves. Known for Chicken Badiya, Alfaham grills, thin crust pizza, fresh mint mojitos &amp; dessert. (⭐ 4.3).</t>
        </is>
      </c>
    </row>
    <row r="30" ht="28" customHeight="1">
      <c r="A30" s="17" t="inlineStr">
        <is>
          <t>Day 2</t>
        </is>
      </c>
      <c r="B30" s="18" t="inlineStr">
        <is>
          <t>17 Oct (Sat)</t>
        </is>
      </c>
      <c r="C30" s="17" t="inlineStr">
        <is>
          <t>09:30 PM</t>
        </is>
      </c>
      <c r="D30" s="29" t="inlineStr">
        <is>
          <t>Rest</t>
        </is>
      </c>
      <c r="E30" s="20" t="inlineStr">
        <is>
          <t>🌙 Early Night at Ocean Aura Beach Stay</t>
        </is>
      </c>
      <c r="F30" s="21" t="inlineStr">
        <is>
          <t>Ocean Aura Beach Stay, Thumpoly</t>
        </is>
      </c>
      <c r="G30" s="17" t="inlineStr">
        <is>
          <t>Booked</t>
        </is>
      </c>
      <c r="H30" s="23" t="n">
        <v>0</v>
      </c>
      <c r="I30" s="21" t="inlineStr">
        <is>
          <t>Host</t>
        </is>
      </c>
      <c r="J30" s="17" t="inlineStr">
        <is>
          <t>7994455407</t>
        </is>
      </c>
      <c r="K30" s="21" t="inlineStr">
        <is>
          <t>🛑 CRITICAL: Sleep early! Day 3 morning kayaking starts at 06:00 AM sharp with Opulence. Set alarms for 05:15 AM.</t>
        </is>
      </c>
    </row>
    <row r="31" ht="28" customHeight="1">
      <c r="A31" s="10" t="inlineStr">
        <is>
          <t>Day 3</t>
        </is>
      </c>
      <c r="B31" s="13" t="inlineStr">
        <is>
          <t>18 Oct (Sun)</t>
        </is>
      </c>
      <c r="C31" s="10" t="inlineStr">
        <is>
          <t>06:00 AM - 11:30 AM</t>
        </is>
      </c>
      <c r="D31" s="26" t="inlineStr">
        <is>
          <t>Activity</t>
        </is>
      </c>
      <c r="E31" s="9" t="inlineStr">
        <is>
          <t>🛶 Kayaking with Opulence Backwater Adventures</t>
        </is>
      </c>
      <c r="F31" s="7" t="inlineStr">
        <is>
          <t>Kainakary Backwaters, Alleppey</t>
        </is>
      </c>
      <c r="G31" s="10" t="inlineStr">
        <is>
          <t>Booked Slot</t>
        </is>
      </c>
      <c r="H31" s="16" t="n">
        <v>700</v>
      </c>
      <c r="I31" s="7" t="inlineStr">
        <is>
          <t>Opulence Guide</t>
        </is>
      </c>
      <c r="J31" s="10" t="inlineStr">
        <is>
          <t>8921172358</t>
        </is>
      </c>
      <c r="K31" s="7" t="inlineStr">
        <is>
          <t>Booked at ₹700. Morning session ending at 11:30 AM. Glide through narrow village canals of Kuttanad, water lilies &amp; village bridges. Breakfast included!</t>
        </is>
      </c>
    </row>
    <row r="32" ht="28" customHeight="1">
      <c r="A32" s="17" t="inlineStr">
        <is>
          <t>Day 3</t>
        </is>
      </c>
      <c r="B32" s="18" t="inlineStr">
        <is>
          <t>18 Oct (Sun)</t>
        </is>
      </c>
      <c r="C32" s="17" t="inlineStr">
        <is>
          <t>11:30 AM - 12:15 PM</t>
        </is>
      </c>
      <c r="D32" s="25" t="inlineStr">
        <is>
          <t>Restaurant</t>
        </is>
      </c>
      <c r="E32" s="20" t="inlineStr">
        <is>
          <t>🍳 Provided Kerala Breakfast &amp; Refresh</t>
        </is>
      </c>
      <c r="F32" s="21" t="inlineStr">
        <is>
          <t>Opulence Finishing Camp, Kainakary</t>
        </is>
      </c>
      <c r="G32" s="18" t="inlineStr">
        <is>
          <t>Included in Kayaking</t>
        </is>
      </c>
      <c r="H32" s="23" t="n">
        <v>0</v>
      </c>
      <c r="I32" s="21" t="inlineStr">
        <is>
          <t>Opulence Camp</t>
        </is>
      </c>
      <c r="J32" s="17" t="inlineStr">
        <is>
          <t>8921172358</t>
        </is>
      </c>
      <c r="K32" s="21" t="inlineStr">
        <is>
          <t>Enjoy hot authentic Kerala breakfast (Puttu/kadala or Idli/sambar) provided by Opulence. Change into fresh dry clothes for afternoon ride.</t>
        </is>
      </c>
    </row>
    <row r="33" ht="28" customHeight="1">
      <c r="A33" s="10" t="inlineStr">
        <is>
          <t>Day 3</t>
        </is>
      </c>
      <c r="B33" s="13" t="inlineStr">
        <is>
          <t>18 Oct (Sun)</t>
        </is>
      </c>
      <c r="C33" s="10" t="inlineStr">
        <is>
          <t>12:45 PM - 02:15 PM</t>
        </is>
      </c>
      <c r="D33" s="11" t="inlineStr">
        <is>
          <t>Restaurant</t>
        </is>
      </c>
      <c r="E33" s="9" t="inlineStr">
        <is>
          <t>🍽 Feast at No. 1 Kallu Shap</t>
        </is>
      </c>
      <c r="F33" s="7" t="inlineStr">
        <is>
          <t>Mararikulam Road, Kanjikuzhy / Kalavoor</t>
        </is>
      </c>
      <c r="G33" s="13" t="inlineStr">
        <is>
          <t>Walk-in</t>
        </is>
      </c>
      <c r="H33" s="16" t="n">
        <v>450</v>
      </c>
      <c r="I33" s="7" t="inlineStr">
        <is>
          <t>Shaap Manager</t>
        </is>
      </c>
      <c r="J33" s="10" t="inlineStr">
        <is>
          <t>9446665472</t>
        </is>
      </c>
      <c r="K33" s="7" t="inlineStr">
        <is>
          <t>Authentic shaap dining: Karimeen Pollichathu, spicy crab/duck roast, tapioca &amp; fresh sweet toddy. ⚠️ Responsible riding: Never ride after alcohol; designate sober driver!</t>
        </is>
      </c>
    </row>
    <row r="34" ht="28" customHeight="1">
      <c r="A34" s="17" t="inlineStr">
        <is>
          <t>Day 3</t>
        </is>
      </c>
      <c r="B34" s="18" t="inlineStr">
        <is>
          <t>18 Oct (Sun)</t>
        </is>
      </c>
      <c r="C34" s="17" t="inlineStr">
        <is>
          <t>02:45 PM - 06:15 PM</t>
        </is>
      </c>
      <c r="D34" s="27" t="inlineStr">
        <is>
          <t>Beach</t>
        </is>
      </c>
      <c r="E34" s="20" t="inlineStr">
        <is>
          <t>🏖 Marari Beach: Relaxation &amp; Swimming</t>
        </is>
      </c>
      <c r="F34" s="21" t="inlineStr">
        <is>
          <t>Marari Beach, Mararikulam</t>
        </is>
      </c>
      <c r="G34" s="18" t="inlineStr">
        <is>
          <t>Open Beach</t>
        </is>
      </c>
      <c r="H34" s="23" t="n">
        <v>0</v>
      </c>
      <c r="I34" s="21" t="inlineStr">
        <is>
          <t>Local Ward</t>
        </is>
      </c>
      <c r="J34" s="17" t="inlineStr">
        <is>
          <t>-</t>
        </is>
      </c>
      <c r="K34" s="21" t="inlineStr">
        <is>
          <t>Clean coconut-fringed white sand beach. Swim only where conditions and local fishermen permit. Relax under palm shade with fresh tender coconuts.</t>
        </is>
      </c>
    </row>
    <row r="35" ht="28" customHeight="1">
      <c r="A35" s="10" t="inlineStr">
        <is>
          <t>Day 3</t>
        </is>
      </c>
      <c r="B35" s="13" t="inlineStr">
        <is>
          <t>18 Oct (Sun)</t>
        </is>
      </c>
      <c r="C35" s="10" t="inlineStr">
        <is>
          <t>06:15 PM - 07:15 PM</t>
        </is>
      </c>
      <c r="D35" s="26" t="inlineStr">
        <is>
          <t>Sightseeing</t>
        </is>
      </c>
      <c r="E35" s="9" t="inlineStr">
        <is>
          <t>🌅 Crimson Sunset at Marari Beach</t>
        </is>
      </c>
      <c r="F35" s="7" t="inlineStr">
        <is>
          <t>Marari Beach Front</t>
        </is>
      </c>
      <c r="G35" s="13" t="inlineStr">
        <is>
          <t>Open Sunset</t>
        </is>
      </c>
      <c r="H35" s="16" t="n">
        <v>0</v>
      </c>
      <c r="I35" s="7" t="inlineStr">
        <is>
          <t>Local Sunset 6:05 PM</t>
        </is>
      </c>
      <c r="J35" s="10" t="inlineStr">
        <is>
          <t>-</t>
        </is>
      </c>
      <c r="K35" s="7" t="inlineStr">
        <is>
          <t>Spectacular crimson sunset over the open sea. Peaceful village ambience with traditional wooden fishing canoes parked on the sand.</t>
        </is>
      </c>
    </row>
    <row r="36" ht="28" customHeight="1">
      <c r="A36" s="17" t="inlineStr">
        <is>
          <t>Day 3</t>
        </is>
      </c>
      <c r="B36" s="18" t="inlineStr">
        <is>
          <t>18 Oct (Sun)</t>
        </is>
      </c>
      <c r="C36" s="17" t="inlineStr">
        <is>
          <t>07:45 PM - 09:15 PM</t>
        </is>
      </c>
      <c r="D36" s="25" t="inlineStr">
        <is>
          <t>Restaurant</t>
        </is>
      </c>
      <c r="E36" s="20" t="inlineStr">
        <is>
          <t>🍽 Dinner: Hotel Brothers or Borma Cafe</t>
        </is>
      </c>
      <c r="F36" s="21" t="inlineStr">
        <is>
          <t>Alleppey Town (Brothers) / Beach (Borma)</t>
        </is>
      </c>
      <c r="G36" s="18" t="inlineStr">
        <is>
          <t>Walk-in</t>
        </is>
      </c>
      <c r="H36" s="23" t="n">
        <v>350</v>
      </c>
      <c r="I36" s="21" t="inlineStr">
        <is>
          <t>Hotel Brothers</t>
        </is>
      </c>
      <c r="J36" s="17" t="inlineStr">
        <is>
          <t>+91 477 224 3535</t>
        </is>
      </c>
      <c r="K36" s="21" t="inlineStr">
        <is>
          <t>Hearty Kerala dinner at historic Hotel Brothers (famous duck roast, Neymeen fish curry, appams since 1973) or aesthetic dessert &amp; pasta at Borma Cafe.</t>
        </is>
      </c>
    </row>
    <row r="37" ht="28" customHeight="1">
      <c r="A37" s="10" t="inlineStr">
        <is>
          <t>Day 3</t>
        </is>
      </c>
      <c r="B37" s="13" t="inlineStr">
        <is>
          <t>18 Oct (Sun)</t>
        </is>
      </c>
      <c r="C37" s="10" t="inlineStr">
        <is>
          <t>09:30 PM</t>
        </is>
      </c>
      <c r="D37" s="24" t="inlineStr">
        <is>
          <t>Rest</t>
        </is>
      </c>
      <c r="E37" s="9" t="inlineStr">
        <is>
          <t>🌙 Return to Ocean Aura Stay &amp; Rest</t>
        </is>
      </c>
      <c r="F37" s="7" t="inlineStr">
        <is>
          <t>Ocean Aura Beach Stay, Thumpoly</t>
        </is>
      </c>
      <c r="G37" s="10" t="inlineStr">
        <is>
          <t>Booked</t>
        </is>
      </c>
      <c r="H37" s="16" t="n">
        <v>0</v>
      </c>
      <c r="I37" s="7" t="inlineStr">
        <is>
          <t>Host</t>
        </is>
      </c>
      <c r="J37" s="10" t="inlineStr">
        <is>
          <t>7994455407</t>
        </is>
      </c>
      <c r="K37" s="7" t="inlineStr">
        <is>
          <t>Pack luggage tonight for tomorrow morning checkout and ride to Ambalappuzha Temple and Kumbalangi.</t>
        </is>
      </c>
    </row>
    <row r="38" ht="28" customHeight="1">
      <c r="A38" s="17" t="inlineStr">
        <is>
          <t>Day 4</t>
        </is>
      </c>
      <c r="B38" s="18" t="inlineStr">
        <is>
          <t>19 Oct (Mon)</t>
        </is>
      </c>
      <c r="C38" s="17" t="inlineStr">
        <is>
          <t>07:30 AM - 08:15 AM</t>
        </is>
      </c>
      <c r="D38" s="19" t="inlineStr">
        <is>
          <t>Transport</t>
        </is>
      </c>
      <c r="E38" s="20" t="inlineStr">
        <is>
          <t>🛵 Early Scooter Ride South to Ambalappuzha</t>
        </is>
      </c>
      <c r="F38" s="21" t="inlineStr">
        <is>
          <t>Alleppey ➔ Ambalappuzha (14 km via NH66)</t>
        </is>
      </c>
      <c r="G38" s="18" t="inlineStr">
        <is>
          <t>Highway Ride</t>
        </is>
      </c>
      <c r="H38" s="23" t="n">
        <v>0</v>
      </c>
      <c r="I38" s="21" t="inlineStr">
        <is>
          <t>NH66 Route</t>
        </is>
      </c>
      <c r="J38" s="17" t="inlineStr">
        <is>
          <t>-</t>
        </is>
      </c>
      <c r="K38" s="21" t="inlineStr">
        <is>
          <t>Breezy early morning ride south towards the historic temple town of Ambalappuzha (14 km south of Alleppey).</t>
        </is>
      </c>
    </row>
    <row r="39" ht="28" customHeight="1">
      <c r="A39" s="10" t="inlineStr">
        <is>
          <t>Day 4</t>
        </is>
      </c>
      <c r="B39" s="13" t="inlineStr">
        <is>
          <t>19 Oct (Mon)</t>
        </is>
      </c>
      <c r="C39" s="10" t="inlineStr">
        <is>
          <t>08:15 AM - 09:30 AM</t>
        </is>
      </c>
      <c r="D39" s="30" t="inlineStr">
        <is>
          <t>Temple</t>
        </is>
      </c>
      <c r="E39" s="9" t="inlineStr">
        <is>
          <t>🛕 Darshan: Ambalappuzha Sree Krishna Temple</t>
        </is>
      </c>
      <c r="F39" s="7" t="inlineStr">
        <is>
          <t>SH12, Ambalappuzha</t>
        </is>
      </c>
      <c r="G39" s="13" t="inlineStr">
        <is>
          <t>Free Entry</t>
        </is>
      </c>
      <c r="H39" s="16" t="n">
        <v>80</v>
      </c>
      <c r="I39" s="7" t="inlineStr">
        <is>
          <t>Devaswom Board</t>
        </is>
      </c>
      <c r="J39" s="10" t="inlineStr">
        <is>
          <t>-</t>
        </is>
      </c>
      <c r="K39" s="7" t="inlineStr">
        <is>
          <t>15th-century shrine dedicated to Parthasarathi (Lord Krishna). Sacred pond &amp; famous Palpayasam. ⚠️ Strict dress code: Men must wear Mundu bare-chested; Women in saree/salwar.</t>
        </is>
      </c>
    </row>
    <row r="40" ht="28" customHeight="1">
      <c r="A40" s="17" t="inlineStr">
        <is>
          <t>Day 4</t>
        </is>
      </c>
      <c r="B40" s="18" t="inlineStr">
        <is>
          <t>19 Oct (Mon)</t>
        </is>
      </c>
      <c r="C40" s="17" t="inlineStr">
        <is>
          <t>09:30 AM - 10:15 AM</t>
        </is>
      </c>
      <c r="D40" s="25" t="inlineStr">
        <is>
          <t>Restaurant</t>
        </is>
      </c>
      <c r="E40" s="20" t="inlineStr">
        <is>
          <t>🍳 Traditional Kerala Breakfast near Temple</t>
        </is>
      </c>
      <c r="F40" s="21" t="inlineStr">
        <is>
          <t>Ambalappuzha Temple Junction</t>
        </is>
      </c>
      <c r="G40" s="18" t="inlineStr">
        <is>
          <t>Walk-in</t>
        </is>
      </c>
      <c r="H40" s="23" t="n">
        <v>150</v>
      </c>
      <c r="I40" s="21" t="inlineStr">
        <is>
          <t>Temple Eateries</t>
        </is>
      </c>
      <c r="J40" s="17" t="inlineStr">
        <is>
          <t>-</t>
        </is>
      </c>
      <c r="K40" s="21" t="inlineStr">
        <is>
          <t>Steaming hot idlis, crispy uzhunnu vada, ghee roast dosas, coconut chutney, sambar, and hot filter coffee.</t>
        </is>
      </c>
    </row>
    <row r="41" ht="28" customHeight="1">
      <c r="A41" s="10" t="inlineStr">
        <is>
          <t>Day 4</t>
        </is>
      </c>
      <c r="B41" s="13" t="inlineStr">
        <is>
          <t>19 Oct (Mon)</t>
        </is>
      </c>
      <c r="C41" s="10" t="inlineStr">
        <is>
          <t>10:15 AM - 11:30 AM</t>
        </is>
      </c>
      <c r="D41" s="24" t="inlineStr">
        <is>
          <t>Accommodation</t>
        </is>
      </c>
      <c r="E41" s="9" t="inlineStr">
        <is>
          <t>📦 Return to Ocean Aura Stay &amp; Complete Checkout</t>
        </is>
      </c>
      <c r="F41" s="7" t="inlineStr">
        <is>
          <t>Ocean Aura Beach Stay, Thumpoly</t>
        </is>
      </c>
      <c r="G41" s="13" t="inlineStr">
        <is>
          <t>Check-out by 11:30 AM</t>
        </is>
      </c>
      <c r="H41" s="16" t="n">
        <v>0</v>
      </c>
      <c r="I41" s="7" t="inlineStr">
        <is>
          <t>Host</t>
        </is>
      </c>
      <c r="J41" s="10" t="inlineStr">
        <is>
          <t>7994455407</t>
        </is>
      </c>
      <c r="K41" s="7" t="inlineStr">
        <is>
          <t>Ride back to Alleppey, collect luggage, settle room dues if any, and bid farewell to Ocean Aura hosts.</t>
        </is>
      </c>
    </row>
    <row r="42" ht="28" customHeight="1">
      <c r="A42" s="17" t="inlineStr">
        <is>
          <t>Day 4</t>
        </is>
      </c>
      <c r="B42" s="18" t="inlineStr">
        <is>
          <t>19 Oct (Mon)</t>
        </is>
      </c>
      <c r="C42" s="17" t="inlineStr">
        <is>
          <t>11:45 AM - 01:45 PM</t>
        </is>
      </c>
      <c r="D42" s="19" t="inlineStr">
        <is>
          <t>Transport</t>
        </is>
      </c>
      <c r="E42" s="20" t="inlineStr">
        <is>
          <t>🛵 Scenic Coastal Scooter Ride North to Kumbalangi</t>
        </is>
      </c>
      <c r="F42" s="21" t="inlineStr">
        <is>
          <t>Alleppey ➔ Marari ➔ Chellanam ➔ Kumbalangi</t>
        </is>
      </c>
      <c r="G42" s="18" t="inlineStr">
        <is>
          <t>Scenic Route</t>
        </is>
      </c>
      <c r="H42" s="23" t="n">
        <v>0</v>
      </c>
      <c r="I42" s="21" t="inlineStr">
        <is>
          <t>Coastal Highway</t>
        </is>
      </c>
      <c r="J42" s="17" t="inlineStr">
        <is>
          <t>-</t>
        </is>
      </c>
      <c r="K42" s="21" t="inlineStr">
        <is>
          <t>Ride north along the coastline enjoying sea breeze, coconut palm avenues, and tranquil backwater bridges heading towards Kumbalangi.</t>
        </is>
      </c>
    </row>
    <row r="43" ht="28" customHeight="1">
      <c r="A43" s="10" t="inlineStr">
        <is>
          <t>Day 4</t>
        </is>
      </c>
      <c r="B43" s="13" t="inlineStr">
        <is>
          <t>19 Oct (Mon)</t>
        </is>
      </c>
      <c r="C43" s="10" t="inlineStr">
        <is>
          <t>02:00 PM - 03:00 PM</t>
        </is>
      </c>
      <c r="D43" s="11" t="inlineStr">
        <is>
          <t>Restaurant</t>
        </is>
      </c>
      <c r="E43" s="9" t="inlineStr">
        <is>
          <t>🍽 Lunch in Kochi: Canvas Pizzeria or Fort Paragon</t>
        </is>
      </c>
      <c r="F43" s="7" t="inlineStr">
        <is>
          <t>Fort Kochi / Thoppumpady</t>
        </is>
      </c>
      <c r="G43" s="13" t="inlineStr">
        <is>
          <t>Walk-in</t>
        </is>
      </c>
      <c r="H43" s="16" t="n">
        <v>450</v>
      </c>
      <c r="I43" s="7" t="inlineStr">
        <is>
          <t>Canvas Restaurant</t>
        </is>
      </c>
      <c r="J43" s="10" t="inlineStr">
        <is>
          <t>+91 484 221 4455</t>
        </is>
      </c>
      <c r="K43" s="7" t="inlineStr">
        <is>
          <t>Wood-fired artisanal pizza and pasta at Canvas, or hearty Malabar biryani and fish curry meals at Fort Paragon.</t>
        </is>
      </c>
    </row>
    <row r="44" ht="28" customHeight="1">
      <c r="A44" s="17" t="inlineStr">
        <is>
          <t>Day 4</t>
        </is>
      </c>
      <c r="B44" s="18" t="inlineStr">
        <is>
          <t>19 Oct (Mon)</t>
        </is>
      </c>
      <c r="C44" s="17" t="inlineStr">
        <is>
          <t>03:30 PM - 04:15 PM</t>
        </is>
      </c>
      <c r="D44" s="29" t="inlineStr">
        <is>
          <t>Accommodation</t>
        </is>
      </c>
      <c r="E44" s="20" t="inlineStr">
        <is>
          <t>🏨 Check-in at Zostel Kumbalangi (Base Camp 2)</t>
        </is>
      </c>
      <c r="F44" s="21" t="inlineStr">
        <is>
          <t>Kallancherry, Kumbalangi, Kochi</t>
        </is>
      </c>
      <c r="G44" s="17" t="inlineStr">
        <is>
          <t>Booked</t>
        </is>
      </c>
      <c r="H44" s="23" t="n">
        <v>0</v>
      </c>
      <c r="I44" s="21" t="inlineStr">
        <is>
          <t>Zostel Desk</t>
        </is>
      </c>
      <c r="J44" s="17" t="inlineStr">
        <is>
          <t>+91 484 223 8899</t>
        </is>
      </c>
      <c r="K44" s="21" t="inlineStr">
        <is>
          <t>Serene waterfront hostel nestled on the backwater rim surrounded by Chinese fishing nets and mangroves. Unload bags and enjoy backwater breeze.</t>
        </is>
      </c>
    </row>
    <row r="45" ht="28" customHeight="1">
      <c r="A45" s="10" t="inlineStr">
        <is>
          <t>Day 4</t>
        </is>
      </c>
      <c r="B45" s="13" t="inlineStr">
        <is>
          <t>19 Oct (Mon)</t>
        </is>
      </c>
      <c r="C45" s="10" t="inlineStr">
        <is>
          <t>04:30 PM - 06:00 PM</t>
        </is>
      </c>
      <c r="D45" s="26" t="inlineStr">
        <is>
          <t>Activity</t>
        </is>
      </c>
      <c r="E45" s="9" t="inlineStr">
        <is>
          <t>🦀 Kumbalangi Tourism Village &amp; Backwater Stroll</t>
        </is>
      </c>
      <c r="F45" s="7" t="inlineStr">
        <is>
          <t>Kumbalangi Integrated Tourism Village</t>
        </is>
      </c>
      <c r="G45" s="13" t="inlineStr">
        <is>
          <t>Village Walk</t>
        </is>
      </c>
      <c r="H45" s="16" t="n">
        <v>150</v>
      </c>
      <c r="I45" s="7" t="inlineStr">
        <is>
          <t>Eco Tourism Society</t>
        </is>
      </c>
      <c r="J45" s="10" t="inlineStr">
        <is>
          <t>-</t>
        </is>
      </c>
      <c r="K45" s="7" t="inlineStr">
        <is>
          <t>India's first model eco-tourism village! See traditional crab farming, coir yarn spinning, coconut leaf weaving, and silent narrow waterways.</t>
        </is>
      </c>
    </row>
    <row r="46" ht="28" customHeight="1">
      <c r="A46" s="17" t="inlineStr">
        <is>
          <t>Day 4</t>
        </is>
      </c>
      <c r="B46" s="18" t="inlineStr">
        <is>
          <t>19 Oct (Mon)</t>
        </is>
      </c>
      <c r="C46" s="17" t="inlineStr">
        <is>
          <t>06:00 PM - 07:15 PM</t>
        </is>
      </c>
      <c r="D46" s="27" t="inlineStr">
        <is>
          <t>Activity</t>
        </is>
      </c>
      <c r="E46" s="20" t="inlineStr">
        <is>
          <t>🛶 Stand-Up Paddleboarding (SUP) or Sunset Canoe</t>
        </is>
      </c>
      <c r="F46" s="21" t="inlineStr">
        <is>
          <t>Kumbalangi Backwater Jetty (Zostel Shore)</t>
        </is>
      </c>
      <c r="G46" s="18" t="inlineStr">
        <is>
          <t>Subject to Weather</t>
        </is>
      </c>
      <c r="H46" s="23" t="n">
        <v>400</v>
      </c>
      <c r="I46" s="21" t="inlineStr">
        <is>
          <t>Zostel Activities</t>
        </is>
      </c>
      <c r="J46" s="17" t="inlineStr">
        <is>
          <t>+91 484 223 8899</t>
        </is>
      </c>
      <c r="K46" s="21" t="inlineStr">
        <is>
          <t>Gliding across calm backwaters on a paddleboard as the sky turns orange and purple. Alternatively, take a gentle country canoe row.</t>
        </is>
      </c>
    </row>
    <row r="47" ht="28" customHeight="1">
      <c r="A47" s="10" t="inlineStr">
        <is>
          <t>Day 4</t>
        </is>
      </c>
      <c r="B47" s="13" t="inlineStr">
        <is>
          <t>19 Oct (Mon)</t>
        </is>
      </c>
      <c r="C47" s="10" t="inlineStr">
        <is>
          <t>07:15 PM - 08:15 PM</t>
        </is>
      </c>
      <c r="D47" s="26" t="inlineStr">
        <is>
          <t>Sightseeing</t>
        </is>
      </c>
      <c r="E47" s="9" t="inlineStr">
        <is>
          <t>🌅 Sunset over Kumbalangi Chinese Fishing Nets</t>
        </is>
      </c>
      <c r="F47" s="7" t="inlineStr">
        <is>
          <t>Kumbalangi Waterfront / Puthenthodu Beach</t>
        </is>
      </c>
      <c r="G47" s="13" t="inlineStr">
        <is>
          <t>Open Sunset</t>
        </is>
      </c>
      <c r="H47" s="16" t="n">
        <v>0</v>
      </c>
      <c r="I47" s="7" t="inlineStr">
        <is>
          <t>Sunset 6:04 PM</t>
        </is>
      </c>
      <c r="J47" s="10" t="inlineStr">
        <is>
          <t>-</t>
        </is>
      </c>
      <c r="K47" s="7" t="inlineStr">
        <is>
          <t>Watch the sun dip behind distant coconut crowns and cantilevered Chinese fishing nets reflected across still waters.</t>
        </is>
      </c>
    </row>
    <row r="48" ht="28" customHeight="1">
      <c r="A48" s="17" t="inlineStr">
        <is>
          <t>Day 4</t>
        </is>
      </c>
      <c r="B48" s="18" t="inlineStr">
        <is>
          <t>19 Oct (Mon)</t>
        </is>
      </c>
      <c r="C48" s="17" t="inlineStr">
        <is>
          <t>08:30 PM - 09:45 PM</t>
        </is>
      </c>
      <c r="D48" s="25" t="inlineStr">
        <is>
          <t>Restaurant</t>
        </is>
      </c>
      <c r="E48" s="20" t="inlineStr">
        <is>
          <t>🍽 Dinner: Kumbalangi Seafood Shack / Zostel Cafe</t>
        </is>
      </c>
      <c r="F48" s="21" t="inlineStr">
        <is>
          <t>Kumbalangi Village</t>
        </is>
      </c>
      <c r="G48" s="18" t="inlineStr">
        <is>
          <t>Walk-in</t>
        </is>
      </c>
      <c r="H48" s="23" t="n">
        <v>350</v>
      </c>
      <c r="I48" s="21" t="inlineStr">
        <is>
          <t>Local Shacks / Zostel</t>
        </is>
      </c>
      <c r="J48" s="17" t="inlineStr">
        <is>
          <t>-</t>
        </is>
      </c>
      <c r="K48" s="21" t="inlineStr">
        <is>
          <t>Fresh pearl spot fish fry (Karimeen), squid roast, Kerala parottas, or comfort pasta at Zostel common deck.</t>
        </is>
      </c>
    </row>
    <row r="49" ht="28" customHeight="1">
      <c r="A49" s="10" t="inlineStr">
        <is>
          <t>Day 4</t>
        </is>
      </c>
      <c r="B49" s="13" t="inlineStr">
        <is>
          <t>19 Oct (Mon)</t>
        </is>
      </c>
      <c r="C49" s="10" t="inlineStr">
        <is>
          <t>10:15 PM</t>
        </is>
      </c>
      <c r="D49" s="24" t="inlineStr">
        <is>
          <t>Rest</t>
        </is>
      </c>
      <c r="E49" s="9" t="inlineStr">
        <is>
          <t>🌙 Night Rest at Zostel Kumbalangi</t>
        </is>
      </c>
      <c r="F49" s="7" t="inlineStr">
        <is>
          <t>Zostel Kumbalangi</t>
        </is>
      </c>
      <c r="G49" s="10" t="inlineStr">
        <is>
          <t>Booked</t>
        </is>
      </c>
      <c r="H49" s="16" t="n">
        <v>0</v>
      </c>
      <c r="I49" s="7" t="inlineStr">
        <is>
          <t>Host</t>
        </is>
      </c>
      <c r="J49" s="10" t="inlineStr">
        <is>
          <t>+91 484 223 8899</t>
        </is>
      </c>
      <c r="K49" s="7" t="inlineStr">
        <is>
          <t>Pack bags tonight for Day 5 departure: 1:00 PM hard scooter return deadline and 2:00 PM train to Bangalore!</t>
        </is>
      </c>
    </row>
    <row r="50" ht="28" customHeight="1">
      <c r="A50" s="17" t="inlineStr">
        <is>
          <t>Day 5</t>
        </is>
      </c>
      <c r="B50" s="18" t="inlineStr">
        <is>
          <t>20 Oct (Tue)</t>
        </is>
      </c>
      <c r="C50" s="17" t="inlineStr">
        <is>
          <t>07:45 AM - 08:30 AM</t>
        </is>
      </c>
      <c r="D50" s="19" t="inlineStr">
        <is>
          <t>Transport</t>
        </is>
      </c>
      <c r="E50" s="20" t="inlineStr">
        <is>
          <t>📦 Check out Zostel Kumbalangi &amp; Morning Ride</t>
        </is>
      </c>
      <c r="F50" s="21" t="inlineStr">
        <is>
          <t>Kumbalangi ➔ Fort Kochi (15 km)</t>
        </is>
      </c>
      <c r="G50" s="18" t="inlineStr">
        <is>
          <t>Check-out Completed</t>
        </is>
      </c>
      <c r="H50" s="23" t="n">
        <v>0</v>
      </c>
      <c r="I50" s="21" t="inlineStr">
        <is>
          <t>Route Estimate</t>
        </is>
      </c>
      <c r="J50" s="17" t="inlineStr">
        <is>
          <t>-</t>
        </is>
      </c>
      <c r="K50" s="21" t="inlineStr">
        <is>
          <t>Pack all luggage, clear dues, and ride north into Fort Kochi Water Metro terminal area (~30-35 mins).</t>
        </is>
      </c>
    </row>
    <row r="51" ht="28" customHeight="1">
      <c r="A51" s="10" t="inlineStr">
        <is>
          <t>Day 5</t>
        </is>
      </c>
      <c r="B51" s="13" t="inlineStr">
        <is>
          <t>20 Oct (Tue)</t>
        </is>
      </c>
      <c r="C51" s="10" t="inlineStr">
        <is>
          <t>08:45 AM - 09:45 AM</t>
        </is>
      </c>
      <c r="D51" s="26" t="inlineStr">
        <is>
          <t>Activity</t>
        </is>
      </c>
      <c r="E51" s="9" t="inlineStr">
        <is>
          <t>⛴️ Kochi Water Metro: Fort Kochi ⇄ High Court</t>
        </is>
      </c>
      <c r="F51" s="7" t="inlineStr">
        <is>
          <t>Fort Kochi Water Metro Terminal</t>
        </is>
      </c>
      <c r="G51" s="13" t="inlineStr">
        <is>
          <t>Ticket ₹40/way</t>
        </is>
      </c>
      <c r="H51" s="16" t="n">
        <v>80</v>
      </c>
      <c r="I51" s="7" t="inlineStr">
        <is>
          <t>Water Metro Helpdesk</t>
        </is>
      </c>
      <c r="J51" s="10" t="inlineStr">
        <is>
          <t>1800 425 0345</t>
        </is>
      </c>
      <c r="K51" s="7" t="inlineStr">
        <is>
          <t>Hybrid-electric catamaran gliding across harbor channel. 20-min crossing. Check schedule (boats every 15-20m). Safeguard brunch &amp; 1:00 PM scooter return!</t>
        </is>
      </c>
    </row>
    <row r="52" ht="28" customHeight="1">
      <c r="A52" s="17" t="inlineStr">
        <is>
          <t>Day 5</t>
        </is>
      </c>
      <c r="B52" s="18" t="inlineStr">
        <is>
          <t>20 Oct (Tue)</t>
        </is>
      </c>
      <c r="C52" s="17" t="inlineStr">
        <is>
          <t>10:00 AM - 11:00 AM</t>
        </is>
      </c>
      <c r="D52" s="25" t="inlineStr">
        <is>
          <t>Restaurant</t>
        </is>
      </c>
      <c r="E52" s="20" t="inlineStr">
        <is>
          <t>☕ Farewell Brunch: Kashi Art Cafe</t>
        </is>
      </c>
      <c r="F52" s="21" t="inlineStr">
        <is>
          <t>Burger Street, Fort Kochi</t>
        </is>
      </c>
      <c r="G52" s="18" t="inlineStr">
        <is>
          <t>Walk-in</t>
        </is>
      </c>
      <c r="H52" s="23" t="n">
        <v>450</v>
      </c>
      <c r="I52" s="21" t="inlineStr">
        <is>
          <t>Kashi Art Cafe</t>
        </is>
      </c>
      <c r="J52" s="17" t="inlineStr">
        <is>
          <t>+91 484 221 5769</t>
        </is>
      </c>
      <c r="K52" s="21" t="inlineStr">
        <is>
          <t>Tranquil open-air courtyard gallery shaded by lush rain foliage. Signature warm chocolate cake, poached eggs on sourdough &amp; artisanal pour-over coffee. (⭐ 4.2).</t>
        </is>
      </c>
    </row>
    <row r="53" ht="28" customHeight="1">
      <c r="A53" s="10" t="inlineStr">
        <is>
          <t>Day 5</t>
        </is>
      </c>
      <c r="B53" s="13" t="inlineStr">
        <is>
          <t>20 Oct (Tue)</t>
        </is>
      </c>
      <c r="C53" s="10" t="inlineStr">
        <is>
          <t>11:15 AM - 12:00 PM</t>
        </is>
      </c>
      <c r="D53" s="30" t="inlineStr">
        <is>
          <t>Museum</t>
        </is>
      </c>
      <c r="E53" s="9" t="inlineStr">
        <is>
          <t>🏛 Indo-Portuguese Museum (Bishop's House) [Optional]</t>
        </is>
      </c>
      <c r="F53" s="7" t="inlineStr">
        <is>
          <t>Bishop Kureethara Road, Fort Kochi</t>
        </is>
      </c>
      <c r="G53" s="13" t="inlineStr">
        <is>
          <t>Ticket ₹20</t>
        </is>
      </c>
      <c r="H53" s="16" t="n">
        <v>20</v>
      </c>
      <c r="I53" s="7" t="inlineStr">
        <is>
          <t>Diocese Tourism</t>
        </is>
      </c>
      <c r="J53" s="10" t="inlineStr">
        <is>
          <t>-</t>
        </is>
      </c>
      <c r="K53" s="7" t="inlineStr">
        <is>
          <t>⚠️ STRICTLY OPTIONAL: 16th-century Portuguese religious art &amp; teak altarpieces. Skip immediately if running behind schedule. Depart Fort Kochi by 12:15 PM!</t>
        </is>
      </c>
    </row>
    <row r="54" ht="28" customHeight="1">
      <c r="A54" s="17" t="inlineStr">
        <is>
          <t>Day 5</t>
        </is>
      </c>
      <c r="B54" s="18" t="inlineStr">
        <is>
          <t>20 Oct (Tue)</t>
        </is>
      </c>
      <c r="C54" s="17" t="inlineStr">
        <is>
          <t>12:15 PM - 12:50 PM</t>
        </is>
      </c>
      <c r="D54" s="19" t="inlineStr">
        <is>
          <t>Transport</t>
        </is>
      </c>
      <c r="E54" s="20" t="inlineStr">
        <is>
          <t>🛵 Ride Fort Kochi ➔ Scooter Drop near ERS</t>
        </is>
      </c>
      <c r="F54" s="21" t="inlineStr">
        <is>
          <t>Fort Kochi ➔ Ernakulam Junction (12 km)</t>
        </is>
      </c>
      <c r="G54" s="18" t="inlineStr">
        <is>
          <t>Transit Buffer</t>
        </is>
      </c>
      <c r="H54" s="23" t="n">
        <v>0</v>
      </c>
      <c r="I54" s="21" t="inlineStr">
        <is>
          <t>Route Estimate</t>
        </is>
      </c>
      <c r="J54" s="17" t="inlineStr">
        <is>
          <t>-</t>
        </is>
      </c>
      <c r="K54" s="21" t="inlineStr">
        <is>
          <t>⚠️ CRITICAL TRANSIT: Cross Willingdon Island into Ernakulam mainland. Allow 35-40 mins for urban traffic and bridge signals. Target arrival before 1:00 PM.</t>
        </is>
      </c>
    </row>
    <row r="55" ht="28" customHeight="1">
      <c r="A55" s="10" t="inlineStr">
        <is>
          <t>Day 5</t>
        </is>
      </c>
      <c r="B55" s="13" t="inlineStr">
        <is>
          <t>20 Oct (Tue)</t>
        </is>
      </c>
      <c r="C55" s="10" t="inlineStr">
        <is>
          <t>12:50 PM - 01:15 PM</t>
        </is>
      </c>
      <c r="D55" s="15" t="inlineStr">
        <is>
          <t>Transport</t>
        </is>
      </c>
      <c r="E55" s="9" t="inlineStr">
        <is>
          <t>🛑 Return Scooter near Ernakulam Junction</t>
        </is>
      </c>
      <c r="F55" s="7" t="inlineStr">
        <is>
          <t>Rental Return Point near ERS Station</t>
        </is>
      </c>
      <c r="G55" s="31" t="inlineStr">
        <is>
          <t>Balance Due ₹2,300</t>
        </is>
      </c>
      <c r="H55" s="16" t="n">
        <v>2300</v>
      </c>
      <c r="I55" s="7" t="inlineStr">
        <is>
          <t>Scooter Vendor</t>
        </is>
      </c>
      <c r="J55" s="10" t="inlineStr">
        <is>
          <t>9003955156</t>
        </is>
      </c>
      <c r="K55" s="7" t="inlineStr">
        <is>
          <t>🛑 HARD DEADLINE: Return scooter by 1:00 PM (latest 1:30 PM). Inspect bodywork, return helmets, settle ₹2,300 balance payment.</t>
        </is>
      </c>
    </row>
    <row r="56" ht="28" customHeight="1">
      <c r="A56" s="17" t="inlineStr">
        <is>
          <t>Day 5</t>
        </is>
      </c>
      <c r="B56" s="18" t="inlineStr">
        <is>
          <t>20 Oct (Tue)</t>
        </is>
      </c>
      <c r="C56" s="17" t="inlineStr">
        <is>
          <t>01:15 PM - 01:45 PM</t>
        </is>
      </c>
      <c r="D56" s="19" t="inlineStr">
        <is>
          <t>Transport</t>
        </is>
      </c>
      <c r="E56" s="20" t="inlineStr">
        <is>
          <t>🚉 Station Access &amp; Platform Boarding: ERS</t>
        </is>
      </c>
      <c r="F56" s="21" t="inlineStr">
        <is>
          <t>Ernakulam Junction Railway Station (Platform 1)</t>
        </is>
      </c>
      <c r="G56" s="18" t="inlineStr">
        <is>
          <t>Confirmed Ticket</t>
        </is>
      </c>
      <c r="H56" s="23" t="n">
        <v>0</v>
      </c>
      <c r="I56" s="21" t="inlineStr">
        <is>
          <t>Station Master</t>
        </is>
      </c>
      <c r="J56" s="17" t="inlineStr">
        <is>
          <t>139</t>
        </is>
      </c>
      <c r="K56" s="21" t="inlineStr">
        <is>
          <t>Enter ERS main entrance, pass security screening, check coach position on digital indicators, and reach platform by 01:30 PM.</t>
        </is>
      </c>
    </row>
    <row r="57" ht="28" customHeight="1">
      <c r="A57" s="10" t="inlineStr">
        <is>
          <t>Day 5</t>
        </is>
      </c>
      <c r="B57" s="13" t="inlineStr">
        <is>
          <t>20 Oct (Tue)</t>
        </is>
      </c>
      <c r="C57" s="10" t="inlineStr">
        <is>
          <t>02:00 PM</t>
        </is>
      </c>
      <c r="D57" s="15" t="inlineStr">
        <is>
          <t>Transport</t>
        </is>
      </c>
      <c r="E57" s="9" t="inlineStr">
        <is>
          <t>🚆 Board Vande Bharat Express to Bengaluru</t>
        </is>
      </c>
      <c r="F57" s="7" t="inlineStr">
        <is>
          <t>Ernakulam Junction Railway Station (ERS)</t>
        </is>
      </c>
      <c r="G57" s="10" t="inlineStr">
        <is>
          <t>Train Booked</t>
        </is>
      </c>
      <c r="H57" s="16" t="n">
        <v>1708</v>
      </c>
      <c r="I57" s="7" t="inlineStr">
        <is>
          <t>IRCTC Helpdesk</t>
        </is>
      </c>
      <c r="J57" s="10" t="inlineStr">
        <is>
          <t>139</t>
        </is>
      </c>
      <c r="K57" s="7" t="inlineStr">
        <is>
          <t>🎉 Expedition Complete! Board 2:00 PM sharp Vande Bharat Express to Bengaluru (₹1,708/person). Relax after 96 hours of Kerala adventure!</t>
        </is>
      </c>
    </row>
    <row r="58" ht="28" customHeight="1">
      <c r="A58" s="32" t="inlineStr">
        <is>
          <t>TOTAL ESTIMATED DIRECT EXPENSES RECORDED ABOVE:</t>
        </is>
      </c>
      <c r="B58" s="33" t="n"/>
      <c r="C58" s="33" t="n"/>
      <c r="D58" s="33" t="n"/>
      <c r="E58" s="33" t="n"/>
      <c r="F58" s="33" t="n"/>
      <c r="G58" s="34" t="n"/>
      <c r="H58" s="35">
        <f>SUM(H5:H57)</f>
        <v/>
      </c>
      <c r="I58" s="36" t="n"/>
      <c r="J58" s="36" t="n"/>
      <c r="K58" s="36" t="n"/>
    </row>
  </sheetData>
  <mergeCells count="3">
    <mergeCell ref="A2:K2"/>
    <mergeCell ref="A1:K1"/>
    <mergeCell ref="A58:G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  <col width="25" customWidth="1" min="4" max="4"/>
    <col width="34" customWidth="1" min="5" max="5"/>
    <col width="56" customWidth="1" min="6" max="6"/>
    <col width="42" customWidth="1" min="7" max="7"/>
    <col width="65" customWidth="1" min="8" max="8"/>
  </cols>
  <sheetData>
    <row r="1" ht="42" customHeight="1">
      <c r="A1" s="1" t="inlineStr">
        <is>
          <t>🌴 EMERGENCY CONTACTS &amp; BOOKINGS WALLET</t>
        </is>
      </c>
      <c r="B1" s="2" t="n"/>
      <c r="C1" s="2" t="n"/>
      <c r="D1" s="2" t="n"/>
      <c r="E1" s="2" t="n"/>
      <c r="F1" s="2" t="n"/>
      <c r="G1" s="2" t="n"/>
      <c r="H1" s="3" t="n"/>
    </row>
    <row r="2" ht="24" customHeight="1">
      <c r="A2" s="4" t="inlineStr">
        <is>
          <t>Direct Phone Numbers, Venue POCs, Booking References, Operational Instructions &amp; Emergency Helplines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 ht="26" customHeight="1">
      <c r="A4" s="14" t="inlineStr">
        <is>
          <t>Category / Entity</t>
        </is>
      </c>
      <c r="B4" s="14" t="inlineStr">
        <is>
          <t>Name / Property Title</t>
        </is>
      </c>
      <c r="C4" s="14" t="inlineStr">
        <is>
          <t>Role / Booking Scope</t>
        </is>
      </c>
      <c r="D4" s="14" t="inlineStr">
        <is>
          <t>Phone / Contact Number</t>
        </is>
      </c>
      <c r="E4" s="14" t="inlineStr">
        <is>
          <t>Status / Reference</t>
        </is>
      </c>
      <c r="F4" s="14" t="inlineStr">
        <is>
          <t>Dates / Timing</t>
        </is>
      </c>
      <c r="G4" s="14" t="inlineStr">
        <is>
          <t>Location Hub</t>
        </is>
      </c>
      <c r="H4" s="14" t="inlineStr">
        <is>
          <t>Key Instructions &amp; Action Items</t>
        </is>
      </c>
    </row>
    <row r="5" ht="28" customHeight="1">
      <c r="A5" s="10" t="inlineStr">
        <is>
          <t>Accommodation</t>
        </is>
      </c>
      <c r="B5" s="9" t="inlineStr">
        <is>
          <t>Calvin's Inn</t>
        </is>
      </c>
      <c r="C5" s="7" t="inlineStr">
        <is>
          <t>Day 1 Stay (Fort Kochi)</t>
        </is>
      </c>
      <c r="D5" s="15" t="inlineStr">
        <is>
          <t>9995165493</t>
        </is>
      </c>
      <c r="E5" s="11" t="inlineStr">
        <is>
          <t>Booked (User-Provided)</t>
        </is>
      </c>
      <c r="F5" s="7" t="inlineStr">
        <is>
          <t>Check-in: 16 Oct 2:00 PM • Check-out: 17 Oct 11:30 AM</t>
        </is>
      </c>
      <c r="G5" s="7" t="inlineStr">
        <is>
          <t>K.J. Herschel Road, Fort Kochi</t>
        </is>
      </c>
      <c r="H5" s="7" t="inlineStr">
        <is>
          <t>Call host before arrival from station. Drop bags and head to Mattancherry for lunch.</t>
        </is>
      </c>
    </row>
    <row r="6" ht="28" customHeight="1">
      <c r="A6" s="10" t="inlineStr">
        <is>
          <t>Accommodation</t>
        </is>
      </c>
      <c r="B6" s="9" t="inlineStr">
        <is>
          <t>Ocean Aura Beach Stay</t>
        </is>
      </c>
      <c r="C6" s="7" t="inlineStr">
        <is>
          <t>Day 2 &amp; Day 3 Stay (Alleppey)</t>
        </is>
      </c>
      <c r="D6" s="15" t="inlineStr">
        <is>
          <t>7994455407</t>
        </is>
      </c>
      <c r="E6" s="11" t="inlineStr">
        <is>
          <t>Booked (User-Provided)</t>
        </is>
      </c>
      <c r="F6" s="7" t="inlineStr">
        <is>
          <t>Check-in: 17 Oct 4:00 PM • Check-out: 19 Oct 11:00 AM</t>
        </is>
      </c>
      <c r="G6" s="7" t="inlineStr">
        <is>
          <t>Munnodi Temple Rd, Thumpoly Beach</t>
        </is>
      </c>
      <c r="H6" s="7" t="inlineStr">
        <is>
          <t>Beachfront stay on Thumpoly Beach with direct ocean access. Host contact: 7994455407.</t>
        </is>
      </c>
    </row>
    <row r="7" ht="28" customHeight="1">
      <c r="A7" s="10" t="inlineStr">
        <is>
          <t>Accommodation</t>
        </is>
      </c>
      <c r="B7" s="9" t="inlineStr">
        <is>
          <t>Zostel Kumbalangi</t>
        </is>
      </c>
      <c r="C7" s="7" t="inlineStr">
        <is>
          <t>Day 4 Stay (Kumbalangi)</t>
        </is>
      </c>
      <c r="D7" s="15" t="inlineStr">
        <is>
          <t>+91 484 223 8899</t>
        </is>
      </c>
      <c r="E7" s="11" t="inlineStr">
        <is>
          <t>Booked (User-Provided)</t>
        </is>
      </c>
      <c r="F7" s="7" t="inlineStr">
        <is>
          <t>Check-in: 19 Oct 2:00 PM • Check-out: 20 Oct 08:00 AM</t>
        </is>
      </c>
      <c r="G7" s="7" t="inlineStr">
        <is>
          <t>Kallancherry, Kumbalangi Backwaters</t>
        </is>
      </c>
      <c r="H7" s="7" t="inlineStr">
        <is>
          <t>Waterfront hostel nestled on backwater rim. Direct kayak/SUP access and sunset deck.</t>
        </is>
      </c>
    </row>
    <row r="8" ht="28" customHeight="1">
      <c r="A8" s="10" t="inlineStr">
        <is>
          <t>Transport</t>
        </is>
      </c>
      <c r="B8" s="9" t="inlineStr">
        <is>
          <t>Vande Bharat Outbound</t>
        </is>
      </c>
      <c r="C8" s="7" t="inlineStr">
        <is>
          <t>Bengaluru ➔ Ernakulam Jn</t>
        </is>
      </c>
      <c r="D8" s="15" t="inlineStr">
        <is>
          <t>139</t>
        </is>
      </c>
      <c r="E8" s="11" t="inlineStr">
        <is>
          <t>Booked (₹1,708/person)</t>
        </is>
      </c>
      <c r="F8" s="7" t="inlineStr">
        <is>
          <t>16 Oct 2026, 02:00 PM Arrival</t>
        </is>
      </c>
      <c r="G8" s="7" t="inlineStr">
        <is>
          <t>Ernakulam Junction (ERS)</t>
        </is>
      </c>
      <c r="H8" s="7" t="inlineStr">
        <is>
          <t>Arrives 02:00 PM. De-board, exit towards South/Main gate to meet scooter vendor.</t>
        </is>
      </c>
    </row>
    <row r="9" ht="28" customHeight="1">
      <c r="A9" s="10" t="inlineStr">
        <is>
          <t>Transport</t>
        </is>
      </c>
      <c r="B9" s="9" t="inlineStr">
        <is>
          <t>Vande Bharat Return</t>
        </is>
      </c>
      <c r="C9" s="7" t="inlineStr">
        <is>
          <t>Ernakulam Jn ➔ Bengaluru</t>
        </is>
      </c>
      <c r="D9" s="15" t="inlineStr">
        <is>
          <t>139</t>
        </is>
      </c>
      <c r="E9" s="11" t="inlineStr">
        <is>
          <t>Booked (₹1,708/person)</t>
        </is>
      </c>
      <c r="F9" s="7" t="inlineStr">
        <is>
          <t>20 Oct 2026, 02:00 PM Departure</t>
        </is>
      </c>
      <c r="G9" s="7" t="inlineStr">
        <is>
          <t>Ernakulam Junction (Platform 1)</t>
        </is>
      </c>
      <c r="H9" s="7" t="inlineStr">
        <is>
          <t>🛑 HARD DEADLINE: Departs 02:00 PM sharp! Reach platform by 1:30 PM with confirmed e-ticket.</t>
        </is>
      </c>
    </row>
    <row r="10" ht="28" customHeight="1">
      <c r="A10" s="10" t="inlineStr">
        <is>
          <t>Transport</t>
        </is>
      </c>
      <c r="B10" s="9" t="inlineStr">
        <is>
          <t>Scooter Rental Provider</t>
        </is>
      </c>
      <c r="C10" s="7" t="inlineStr">
        <is>
          <t>Vehicle Rental &amp; Return</t>
        </is>
      </c>
      <c r="D10" s="15" t="inlineStr">
        <is>
          <t>9003955156</t>
        </is>
      </c>
      <c r="E10" s="10" t="inlineStr">
        <is>
          <t>₹500 Advance Paid (Bal: ₹2,300)</t>
        </is>
      </c>
      <c r="F10" s="7" t="inlineStr">
        <is>
          <t>Pickup: 16 Oct 2:30 PM • Return: 20 Oct 1:00 PM</t>
        </is>
      </c>
      <c r="G10" s="7" t="inlineStr">
        <is>
          <t>Near Ernakulam Junction Railway Station</t>
        </is>
      </c>
      <c r="H10" s="7" t="inlineStr">
        <is>
          <t>🛑 HARD RETURN TARGET: 1:00 PM (latest 1:30 PM). Inspect bodywork, return helmets, settle ₹2,300 balance.</t>
        </is>
      </c>
    </row>
    <row r="11" ht="28" customHeight="1">
      <c r="A11" s="10" t="inlineStr">
        <is>
          <t>Activity</t>
        </is>
      </c>
      <c r="B11" s="9" t="inlineStr">
        <is>
          <t>Opulence Backwater Adventures</t>
        </is>
      </c>
      <c r="C11" s="7" t="inlineStr">
        <is>
          <t>Day 3 Early-Morning Kayaking</t>
        </is>
      </c>
      <c r="D11" s="15" t="inlineStr">
        <is>
          <t>8921172358</t>
        </is>
      </c>
      <c r="E11" s="11" t="inlineStr">
        <is>
          <t>Booked Slot (₹700 Total)</t>
        </is>
      </c>
      <c r="F11" s="7" t="inlineStr">
        <is>
          <t>18 Oct 2026, 06:00 AM – 11:30 AM</t>
        </is>
      </c>
      <c r="G11" s="7" t="inlineStr">
        <is>
          <t>Kainakary Backwaters, Alleppey</t>
        </is>
      </c>
      <c r="H11" s="7" t="inlineStr">
        <is>
          <t>Gliding through narrow Kuttanad canals. Breakfast provided. Host contact: 8921172358.</t>
        </is>
      </c>
    </row>
    <row r="12" ht="28" customHeight="1">
      <c r="A12" s="10" t="inlineStr">
        <is>
          <t>Food &amp; Drink</t>
        </is>
      </c>
      <c r="B12" s="9" t="inlineStr">
        <is>
          <t>No. 1 Kallu Shap</t>
        </is>
      </c>
      <c r="C12" s="7" t="inlineStr">
        <is>
          <t>Day 3 Toddy Shop &amp; Food Feast</t>
        </is>
      </c>
      <c r="D12" s="15" t="inlineStr">
        <is>
          <t>9446665472</t>
        </is>
      </c>
      <c r="E12" s="10" t="inlineStr">
        <is>
          <t>Walk-in Food Stop</t>
        </is>
      </c>
      <c r="F12" s="7" t="inlineStr">
        <is>
          <t>18 Oct 2026, 12:45 PM – 02:15 PM</t>
        </is>
      </c>
      <c r="G12" s="7" t="inlineStr">
        <is>
          <t>Mararikulam Rd, Kalavoor, Alleppey</t>
        </is>
      </c>
      <c r="H12" s="7" t="inlineStr">
        <is>
          <t>Authentic shaap dining: Karimeen Pollichathu, crab/duck roast &amp; tapioca. Responsible riding reminder applies!</t>
        </is>
      </c>
    </row>
    <row r="13" ht="28" customHeight="1">
      <c r="A13" s="10" t="inlineStr">
        <is>
          <t>Transport / Experience</t>
        </is>
      </c>
      <c r="B13" s="9" t="inlineStr">
        <is>
          <t>Kochi Water Metro</t>
        </is>
      </c>
      <c r="C13" s="7" t="inlineStr">
        <is>
          <t>Fort Kochi ⇄ High Court Catamaran</t>
        </is>
      </c>
      <c r="D13" s="15" t="inlineStr">
        <is>
          <t>1800 425 0345</t>
        </is>
      </c>
      <c r="E13" s="10" t="inlineStr">
        <is>
          <t>Counter / Kochi1 App (₹40/way)</t>
        </is>
      </c>
      <c r="F13" s="7" t="inlineStr">
        <is>
          <t>20 Oct 2026, 08:45 AM – 09:45 AM</t>
        </is>
      </c>
      <c r="G13" s="7" t="inlineStr">
        <is>
          <t>Fort Kochi Water Metro Terminal</t>
        </is>
      </c>
      <c r="H13" s="7" t="inlineStr">
        <is>
          <t>Modern AC hybrid-electric catamaran boat ride across harbor channel. Depart before 08:45 AM.</t>
        </is>
      </c>
    </row>
    <row r="14" ht="28" customHeight="1">
      <c r="A14" s="10" t="inlineStr">
        <is>
          <t>Emergency</t>
        </is>
      </c>
      <c r="B14" s="9" t="inlineStr">
        <is>
          <t>Kerala Tourism Toll-Free Helpline</t>
        </is>
      </c>
      <c r="C14" s="7" t="inlineStr">
        <is>
          <t>24/7 Traveller Assistance &amp; Info</t>
        </is>
      </c>
      <c r="D14" s="15" t="inlineStr">
        <is>
          <t>1363</t>
        </is>
      </c>
      <c r="E14" s="10" t="inlineStr">
        <is>
          <t>Government Helpline</t>
        </is>
      </c>
      <c r="F14" s="7" t="inlineStr">
        <is>
          <t>24x7 Active</t>
        </is>
      </c>
      <c r="G14" s="7" t="inlineStr">
        <is>
          <t>Statewide Kerala</t>
        </is>
      </c>
      <c r="H14" s="7" t="inlineStr">
        <is>
          <t>Instant English/Hindi/Malayalam support for tourist queries, road status &amp; emergency advice.</t>
        </is>
      </c>
    </row>
    <row r="15" ht="28" customHeight="1">
      <c r="A15" s="10" t="inlineStr">
        <is>
          <t>Emergency</t>
        </is>
      </c>
      <c r="B15" s="9" t="inlineStr">
        <is>
          <t>Kerala Police Emergency Response</t>
        </is>
      </c>
      <c r="C15" s="7" t="inlineStr">
        <is>
          <t>Police Assistance (Dial 112)</t>
        </is>
      </c>
      <c r="D15" s="15" t="inlineStr">
        <is>
          <t>112</t>
        </is>
      </c>
      <c r="E15" s="10" t="inlineStr">
        <is>
          <t>Emergency Police</t>
        </is>
      </c>
      <c r="F15" s="7" t="inlineStr">
        <is>
          <t>24x7 Active</t>
        </is>
      </c>
      <c r="G15" s="7" t="inlineStr">
        <is>
          <t>Statewide Kerala</t>
        </is>
      </c>
      <c r="H15" s="7" t="inlineStr">
        <is>
          <t>Immediate police dispatch for road accidents, disputes, or security assistance.</t>
        </is>
      </c>
    </row>
    <row r="16" ht="28" customHeight="1">
      <c r="A16" s="10" t="inlineStr">
        <is>
          <t>Emergency</t>
        </is>
      </c>
      <c r="B16" s="9" t="inlineStr">
        <is>
          <t>Ambulance / Medical Emergency</t>
        </is>
      </c>
      <c r="C16" s="7" t="inlineStr">
        <is>
          <t>Kerala Health Emergency Service</t>
        </is>
      </c>
      <c r="D16" s="15" t="inlineStr">
        <is>
          <t>108</t>
        </is>
      </c>
      <c r="E16" s="10" t="inlineStr">
        <is>
          <t>Medical Emergency</t>
        </is>
      </c>
      <c r="F16" s="7" t="inlineStr">
        <is>
          <t>24x7 Active</t>
        </is>
      </c>
      <c r="G16" s="7" t="inlineStr">
        <is>
          <t>Statewide Kerala</t>
        </is>
      </c>
      <c r="H16" s="7" t="inlineStr">
        <is>
          <t>Free emergency medical dispatch and hospital coordination.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35" customWidth="1" min="3" max="3"/>
    <col width="25" customWidth="1" min="4" max="4"/>
    <col width="16" customWidth="1" min="5" max="5"/>
    <col width="28" customWidth="1" min="6" max="6"/>
    <col width="17" customWidth="1" min="7" max="7"/>
    <col width="62" customWidth="1" min="8" max="8"/>
    <col width="65" customWidth="1" min="9" max="9"/>
  </cols>
  <sheetData>
    <row r="1" ht="42" customHeight="1">
      <c r="A1" s="1" t="inlineStr">
        <is>
          <t>🌴 CURATED RESTAURANT, CAFE &amp; TODDY SHOP GUIDE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4" customHeight="1">
      <c r="A2" s="4" t="inlineStr">
        <is>
          <t>Verified Eateries, Coastal Seafood, Heritage Godown Cafes, Bakeries &amp; Shacks across Kochi, Alleppey &amp; Kumbalangi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/>
    <row r="4" ht="26" customHeight="1">
      <c r="A4" s="14" t="inlineStr">
        <is>
          <t>Region / Town</t>
        </is>
      </c>
      <c r="B4" s="14" t="inlineStr">
        <is>
          <t>Restaurant / Cafe Name</t>
        </is>
      </c>
      <c r="C4" s="14" t="inlineStr">
        <is>
          <t>Category &amp; Cuisine</t>
        </is>
      </c>
      <c r="D4" s="14" t="inlineStr">
        <is>
          <t>Status</t>
        </is>
      </c>
      <c r="E4" s="14" t="inlineStr">
        <is>
          <t>Rating</t>
        </is>
      </c>
      <c r="F4" s="14" t="inlineStr">
        <is>
          <t>Opening Hours</t>
        </is>
      </c>
      <c r="G4" s="14" t="inlineStr">
        <is>
          <t>Price / Person</t>
        </is>
      </c>
      <c r="H4" s="14" t="inlineStr">
        <is>
          <t>Signature Specialities</t>
        </is>
      </c>
      <c r="I4" s="14" t="inlineStr">
        <is>
          <t>Operational Notes &amp; Insider Guidance</t>
        </is>
      </c>
    </row>
    <row r="5" ht="28" customHeight="1">
      <c r="A5" s="10" t="inlineStr">
        <is>
          <t>Mattancherry</t>
        </is>
      </c>
      <c r="B5" s="9" t="inlineStr">
        <is>
          <t>The Warehouse Cafe</t>
        </is>
      </c>
      <c r="C5" s="7" t="inlineStr">
        <is>
          <t>Continental &amp; Cafe</t>
        </is>
      </c>
      <c r="D5" s="11" t="inlineStr">
        <is>
          <t>Primary Choice</t>
        </is>
      </c>
      <c r="E5" s="10" t="inlineStr">
        <is>
          <t>4.2 ★ (1.4k)</t>
        </is>
      </c>
      <c r="F5" s="13" t="inlineStr">
        <is>
          <t>10:00 AM – 10:30 PM</t>
        </is>
      </c>
      <c r="G5" s="12" t="inlineStr">
        <is>
          <t>₹500</t>
        </is>
      </c>
      <c r="H5" s="7" t="inlineStr">
        <is>
          <t>Cold brew coffee, calamari bites, waterfront views</t>
        </is>
      </c>
      <c r="I5" s="7" t="inlineStr">
        <is>
          <t>Restored waterfront spice godown overlooking harbour shipping channel. Perfect arrival lunch.</t>
        </is>
      </c>
    </row>
    <row r="6" ht="28" customHeight="1">
      <c r="A6" s="10" t="inlineStr">
        <is>
          <t>Fort Kochi</t>
        </is>
      </c>
      <c r="B6" s="9" t="inlineStr">
        <is>
          <t>Fort House Restaurant</t>
        </is>
      </c>
      <c r="C6" s="7" t="inlineStr">
        <is>
          <t>Kerala Coastal &amp; Seafood</t>
        </is>
      </c>
      <c r="D6" s="11" t="inlineStr">
        <is>
          <t>Primary Choice</t>
        </is>
      </c>
      <c r="E6" s="10" t="inlineStr">
        <is>
          <t>4.4 ★ (2.3k)</t>
        </is>
      </c>
      <c r="F6" s="13" t="inlineStr">
        <is>
          <t>12:30–3 PM, 6:30–10:30 PM</t>
        </is>
      </c>
      <c r="G6" s="12" t="inlineStr">
        <is>
          <t>₹850</t>
        </is>
      </c>
      <c r="H6" s="7" t="inlineStr">
        <is>
          <t>Karimeen Pollichathu, Kerala Prawn Curry, Appam</t>
        </is>
      </c>
      <c r="I6" s="7" t="inlineStr">
        <is>
          <t>Romantic wooden timber jetty over Cochin harbor water. Gentle waves and authentic Kerala preparations.</t>
        </is>
      </c>
    </row>
    <row r="7" ht="28" customHeight="1">
      <c r="A7" s="10" t="inlineStr">
        <is>
          <t>Fort Kochi</t>
        </is>
      </c>
      <c r="B7" s="9" t="inlineStr">
        <is>
          <t>Trouvaille</t>
        </is>
      </c>
      <c r="C7" s="7" t="inlineStr">
        <is>
          <t>French Patisserie &amp; Desserts</t>
        </is>
      </c>
      <c r="D7" s="11" t="inlineStr">
        <is>
          <t>Primary Choice</t>
        </is>
      </c>
      <c r="E7" s="10" t="inlineStr">
        <is>
          <t>4.5 ★ (890)</t>
        </is>
      </c>
      <c r="F7" s="13" t="inlineStr">
        <is>
          <t>10:30 AM – 10:30 PM</t>
        </is>
      </c>
      <c r="G7" s="12" t="inlineStr">
        <is>
          <t>₹300</t>
        </is>
      </c>
      <c r="H7" s="7" t="inlineStr">
        <is>
          <t>Burnt Basque Cheesecake, Dark Chocolate Tart, Gelato</t>
        </is>
      </c>
      <c r="I7" s="7" t="inlineStr">
        <is>
          <t>The #1 boutique dessert haven in Fort Kochi. Parisian aesthetic, open late for dessert nightcap.</t>
        </is>
      </c>
    </row>
    <row r="8" ht="28" customHeight="1">
      <c r="A8" s="10" t="inlineStr">
        <is>
          <t>Fort Kochi</t>
        </is>
      </c>
      <c r="B8" s="9" t="inlineStr">
        <is>
          <t>Qissa Cafe</t>
        </is>
      </c>
      <c r="C8" s="7" t="inlineStr">
        <is>
          <t>European Breakfast &amp; Bakery</t>
        </is>
      </c>
      <c r="D8" s="11" t="inlineStr">
        <is>
          <t>Primary Choice</t>
        </is>
      </c>
      <c r="E8" s="10" t="inlineStr">
        <is>
          <t>4.4 ★ (2.1k)</t>
        </is>
      </c>
      <c r="F8" s="13" t="inlineStr">
        <is>
          <t>8:00 AM – 10:00 PM</t>
        </is>
      </c>
      <c r="G8" s="12" t="inlineStr">
        <is>
          <t>₹350</t>
        </is>
      </c>
      <c r="H8" s="7" t="inlineStr">
        <is>
          <t>Shakshuka, Blueberry Pancakes, Pour-over Espresso</t>
        </is>
      </c>
      <c r="I8" s="7" t="inlineStr">
        <is>
          <t>2 minutes walk from Calvin's Inn. Exceptional breakfast before embarking on Saturday morning walk.</t>
        </is>
      </c>
    </row>
    <row r="9" ht="28" customHeight="1">
      <c r="A9" s="10" t="inlineStr">
        <is>
          <t>Fort Kochi</t>
        </is>
      </c>
      <c r="B9" s="9" t="inlineStr">
        <is>
          <t>Pandhal Cafe and Deli (David Hall)</t>
        </is>
      </c>
      <c r="C9" s="7" t="inlineStr">
        <is>
          <t>Artisanal Bakery &amp; Continental</t>
        </is>
      </c>
      <c r="D9" s="37" t="inlineStr">
        <is>
          <t>Verified Backup</t>
        </is>
      </c>
      <c r="E9" s="10" t="inlineStr">
        <is>
          <t>4.5 ★ (3.3k)</t>
        </is>
      </c>
      <c r="F9" s="13" t="inlineStr">
        <is>
          <t>8:30 AM – 9:30 PM</t>
        </is>
      </c>
      <c r="G9" s="12" t="inlineStr">
        <is>
          <t>₹550</t>
        </is>
      </c>
      <c r="H9" s="7" t="inlineStr">
        <is>
          <t>Mattancherry Spice Cake, Sourdough Pizza, Cold Brew</t>
        </is>
      </c>
      <c r="I9" s="7" t="inlineStr">
        <is>
          <t>17th-century Dutch colonial bungalow with serene garden courtyard. Operated by CGH Earth.</t>
        </is>
      </c>
    </row>
    <row r="10" ht="28" customHeight="1">
      <c r="A10" s="10" t="inlineStr">
        <is>
          <t>Fort Kochi</t>
        </is>
      </c>
      <c r="B10" s="9" t="inlineStr">
        <is>
          <t>Kashi Art Cafe</t>
        </is>
      </c>
      <c r="C10" s="7" t="inlineStr">
        <is>
          <t>Art Cafe &amp; Brunch</t>
        </is>
      </c>
      <c r="D10" s="11" t="inlineStr">
        <is>
          <t>Primary Choice (Day 5)</t>
        </is>
      </c>
      <c r="E10" s="10" t="inlineStr">
        <is>
          <t>4.2 ★ (11.4k)</t>
        </is>
      </c>
      <c r="F10" s="13" t="inlineStr">
        <is>
          <t>8:30 AM – 10:00 PM</t>
        </is>
      </c>
      <c r="G10" s="12" t="inlineStr">
        <is>
          <t>₹450</t>
        </is>
      </c>
      <c r="H10" s="7" t="inlineStr">
        <is>
          <t>Warm chocolate cake, poached eggs on sourdough, cold drip</t>
        </is>
      </c>
      <c r="I10" s="7" t="inlineStr">
        <is>
          <t>Iconic courtyard gallery shaded by lush rain foliage. Ideal for Day 5 farewell brunch.</t>
        </is>
      </c>
    </row>
    <row r="11" ht="28" customHeight="1">
      <c r="A11" s="10" t="inlineStr">
        <is>
          <t>Mattancherry</t>
        </is>
      </c>
      <c r="B11" s="9" t="inlineStr">
        <is>
          <t>Ginger House Museum Restaurant</t>
        </is>
      </c>
      <c r="C11" s="7" t="inlineStr">
        <is>
          <t>Heritage Seafood &amp; Teas</t>
        </is>
      </c>
      <c r="D11" s="37" t="inlineStr">
        <is>
          <t>Verified Backup</t>
        </is>
      </c>
      <c r="E11" s="10" t="inlineStr">
        <is>
          <t>4.1 ★ (2.8k)</t>
        </is>
      </c>
      <c r="F11" s="13" t="inlineStr">
        <is>
          <t>10:00 AM – 09:30 PM</t>
        </is>
      </c>
      <c r="G11" s="12" t="inlineStr">
        <is>
          <t>₹650</t>
        </is>
      </c>
      <c r="H11" s="7" t="inlineStr">
        <is>
          <t>Signature Iced Ginger Tea, Fish Molly, Ginger Ice Cream</t>
        </is>
      </c>
      <c r="I11" s="7" t="inlineStr">
        <is>
          <t>India's only museum restaurant; dine right next to an authentic 108ft antique snake boat on the water.</t>
        </is>
      </c>
    </row>
    <row r="12" ht="28" customHeight="1">
      <c r="A12" s="10" t="inlineStr">
        <is>
          <t>Fort Kochi</t>
        </is>
      </c>
      <c r="B12" s="9" t="inlineStr">
        <is>
          <t>Loafer's Corner</t>
        </is>
      </c>
      <c r="C12" s="7" t="inlineStr">
        <is>
          <t>Cafe &amp; Light Bites</t>
        </is>
      </c>
      <c r="D12" s="37" t="inlineStr">
        <is>
          <t>Verified Backup</t>
        </is>
      </c>
      <c r="E12" s="10" t="inlineStr">
        <is>
          <t>4.4 ★ (1.8k)</t>
        </is>
      </c>
      <c r="F12" s="13" t="inlineStr">
        <is>
          <t>10:30 AM – 10:30 PM</t>
        </is>
      </c>
      <c r="G12" s="12" t="inlineStr">
        <is>
          <t>₹350</t>
        </is>
      </c>
      <c r="H12" s="7" t="inlineStr">
        <is>
          <t>Ginger lime soda, pasta, Banoffee pie</t>
        </is>
      </c>
      <c r="I12" s="7" t="inlineStr">
        <is>
          <t>Cozy wooden attic overlooking Princess Street. Perfect people-watching spot.</t>
        </is>
      </c>
    </row>
    <row r="13" ht="28" customHeight="1">
      <c r="A13" s="10" t="inlineStr">
        <is>
          <t>Fort Kochi</t>
        </is>
      </c>
      <c r="B13" s="9" t="inlineStr">
        <is>
          <t>Canvas Restaurant &amp; Pizzeria</t>
        </is>
      </c>
      <c r="C13" s="7" t="inlineStr">
        <is>
          <t>Artisanal Italian &amp; Pizza</t>
        </is>
      </c>
      <c r="D13" s="11" t="inlineStr">
        <is>
          <t>Primary (Day 4 Lunch)</t>
        </is>
      </c>
      <c r="E13" s="10" t="inlineStr">
        <is>
          <t>4.3 ★ (1.2k)</t>
        </is>
      </c>
      <c r="F13" s="13" t="inlineStr">
        <is>
          <t>12:00 PM – 10:30 PM</t>
        </is>
      </c>
      <c r="G13" s="12" t="inlineStr">
        <is>
          <t>₹450</t>
        </is>
      </c>
      <c r="H13" s="7" t="inlineStr">
        <is>
          <t>Wood-fired Neapolitan pizza, pasta, iced teas</t>
        </is>
      </c>
      <c r="I13" s="7" t="inlineStr">
        <is>
          <t>Great lunch stop on return ride north from Alleppey to Kumbalangi.</t>
        </is>
      </c>
    </row>
    <row r="14" ht="28" customHeight="1">
      <c r="A14" s="10" t="inlineStr">
        <is>
          <t>Fort Kochi</t>
        </is>
      </c>
      <c r="B14" s="9" t="inlineStr">
        <is>
          <t>Fort Paragon</t>
        </is>
      </c>
      <c r="C14" s="7" t="inlineStr">
        <is>
          <t>Malabar Seafood &amp; Biryani</t>
        </is>
      </c>
      <c r="D14" s="37" t="inlineStr">
        <is>
          <t>Verified Backup</t>
        </is>
      </c>
      <c r="E14" s="10" t="inlineStr">
        <is>
          <t>4.3 ★ (2.5k)</t>
        </is>
      </c>
      <c r="F14" s="13" t="inlineStr">
        <is>
          <t>12:00 PM – 11:00 PM</t>
        </is>
      </c>
      <c r="G14" s="12" t="inlineStr">
        <is>
          <t>₹450</t>
        </is>
      </c>
      <c r="H14" s="7" t="inlineStr">
        <is>
          <t>Malabar Fish Biryani, Chicken Dum Biryani, Fish Mango Curry</t>
        </is>
      </c>
      <c r="I14" s="7" t="inlineStr">
        <is>
          <t>Renowned Calicut Paragon branch in Fort Kochi. Fast service, authentic flavours.</t>
        </is>
      </c>
    </row>
    <row r="15" ht="28" customHeight="1">
      <c r="A15" s="10" t="inlineStr">
        <is>
          <t>Alleppey</t>
        </is>
      </c>
      <c r="B15" s="9" t="inlineStr">
        <is>
          <t>Cafe Catamaran</t>
        </is>
      </c>
      <c r="C15" s="7" t="inlineStr">
        <is>
          <t>Beachfront Continental &amp; Grill</t>
        </is>
      </c>
      <c r="D15" s="11" t="inlineStr">
        <is>
          <t>Primary Choice</t>
        </is>
      </c>
      <c r="E15" s="10" t="inlineStr">
        <is>
          <t>4.3 ★ (2.1k)</t>
        </is>
      </c>
      <c r="F15" s="13" t="inlineStr">
        <is>
          <t>11:00 AM – 11:00 PM</t>
        </is>
      </c>
      <c r="G15" s="12" t="inlineStr">
        <is>
          <t>₹450</t>
        </is>
      </c>
      <c r="H15" s="7" t="inlineStr">
        <is>
          <t>Chicken Badiya, Alfaham grills, thin crust pizza</t>
        </is>
      </c>
      <c r="I15" s="7" t="inlineStr">
        <is>
          <t>Open-air beachfront cafe overlooking the dark waves. Breezy dinner spot on Day 2.</t>
        </is>
      </c>
    </row>
    <row r="16" ht="28" customHeight="1">
      <c r="A16" s="10" t="inlineStr">
        <is>
          <t>Alleppey</t>
        </is>
      </c>
      <c r="B16" s="9" t="inlineStr">
        <is>
          <t>No. 1 Kallu Shap</t>
        </is>
      </c>
      <c r="C16" s="7" t="inlineStr">
        <is>
          <t>Traditional Kerala Shaap Feast</t>
        </is>
      </c>
      <c r="D16" s="11" t="inlineStr">
        <is>
          <t>Primary Choice</t>
        </is>
      </c>
      <c r="E16" s="10" t="inlineStr">
        <is>
          <t>4.2 ★ (1.5k)</t>
        </is>
      </c>
      <c r="F16" s="13" t="inlineStr">
        <is>
          <t>10:00 AM – 08:30 PM</t>
        </is>
      </c>
      <c r="G16" s="12" t="inlineStr">
        <is>
          <t>₹450</t>
        </is>
      </c>
      <c r="H16" s="7" t="inlineStr">
        <is>
          <t>Karimeen Pollichathu, duck roast, spicy crab &amp; tapioca</t>
        </is>
      </c>
      <c r="I16" s="7" t="inlineStr">
        <is>
          <t>Iconic authentic toddy shop feast on Day 3. Note: Never ride after alcohol; designate sober driver!</t>
        </is>
      </c>
    </row>
    <row r="17" ht="28" customHeight="1">
      <c r="A17" s="10" t="inlineStr">
        <is>
          <t>Alleppey</t>
        </is>
      </c>
      <c r="B17" s="9" t="inlineStr">
        <is>
          <t>Hotel Brothers</t>
        </is>
      </c>
      <c r="C17" s="7" t="inlineStr">
        <is>
          <t>Kerala Heritage Cuisine</t>
        </is>
      </c>
      <c r="D17" s="37" t="inlineStr">
        <is>
          <t>Verified Backup</t>
        </is>
      </c>
      <c r="E17" s="10" t="inlineStr">
        <is>
          <t>4.2 ★ (3.1k)</t>
        </is>
      </c>
      <c r="F17" s="13" t="inlineStr">
        <is>
          <t>07:00 AM – 10:30 PM</t>
        </is>
      </c>
      <c r="G17" s="12" t="inlineStr">
        <is>
          <t>₹350</t>
        </is>
      </c>
      <c r="H17" s="7" t="inlineStr">
        <is>
          <t>Kuttanad duck roast, Neymeen curry, Appams</t>
        </is>
      </c>
      <c r="I17" s="7" t="inlineStr">
        <is>
          <t>Serving authentic traditional Alappuzha meals since 1973 near town center.</t>
        </is>
      </c>
    </row>
    <row r="18" ht="28" customHeight="1">
      <c r="A18" s="10" t="inlineStr">
        <is>
          <t>Alleppey</t>
        </is>
      </c>
      <c r="B18" s="9" t="inlineStr">
        <is>
          <t>Borma Cafe</t>
        </is>
      </c>
      <c r="C18" s="7" t="inlineStr">
        <is>
          <t>Bakery &amp; Desserts</t>
        </is>
      </c>
      <c r="D18" s="37" t="inlineStr">
        <is>
          <t>Verified Backup</t>
        </is>
      </c>
      <c r="E18" s="10" t="inlineStr">
        <is>
          <t>4.4 ★ (850)</t>
        </is>
      </c>
      <c r="F18" s="13" t="inlineStr">
        <is>
          <t>10:00 AM – 10:00 PM</t>
        </is>
      </c>
      <c r="G18" s="12" t="inlineStr">
        <is>
          <t>₹300</t>
        </is>
      </c>
      <c r="H18" s="7" t="inlineStr">
        <is>
          <t>Fresh pastries, sourdough sandwiches, specialty coffee</t>
        </is>
      </c>
      <c r="I18" s="7" t="inlineStr">
        <is>
          <t>Modern aesthetic cafe near beach for evening coffee and light dessert.</t>
        </is>
      </c>
    </row>
    <row r="19" ht="28" customHeight="1">
      <c r="A19" s="10" t="inlineStr">
        <is>
          <t>Ambalappuzha</t>
        </is>
      </c>
      <c r="B19" s="9" t="inlineStr">
        <is>
          <t>Ambalappuzha Temple Eateries</t>
        </is>
      </c>
      <c r="C19" s="7" t="inlineStr">
        <is>
          <t>Traditional Vegetarian Breakfast</t>
        </is>
      </c>
      <c r="D19" s="11" t="inlineStr">
        <is>
          <t>Primary (Day 4 B'fast)</t>
        </is>
      </c>
      <c r="E19" s="10" t="inlineStr">
        <is>
          <t>4.5 ★</t>
        </is>
      </c>
      <c r="F19" s="13" t="inlineStr">
        <is>
          <t>06:30 AM – 11:30 AM</t>
        </is>
      </c>
      <c r="G19" s="12" t="inlineStr">
        <is>
          <t>₹150</t>
        </is>
      </c>
      <c r="H19" s="7" t="inlineStr">
        <is>
          <t>Ghee roast dosa, hot idlis, uzhunnu vada, filter coffee</t>
        </is>
      </c>
      <c r="I19" s="7" t="inlineStr">
        <is>
          <t>Freshly steamed South Indian breakfast right outside Ambalappuzha temple gates.</t>
        </is>
      </c>
    </row>
    <row r="20" ht="28" customHeight="1">
      <c r="A20" s="10" t="inlineStr">
        <is>
          <t>Kumbalangi</t>
        </is>
      </c>
      <c r="B20" s="9" t="inlineStr">
        <is>
          <t>Kumbalangi Village Seafood Shacks</t>
        </is>
      </c>
      <c r="C20" s="7" t="inlineStr">
        <is>
          <t>Local Village Catch</t>
        </is>
      </c>
      <c r="D20" s="11" t="inlineStr">
        <is>
          <t>Primary (Day 4 Dinner)</t>
        </is>
      </c>
      <c r="E20" s="10" t="inlineStr">
        <is>
          <t>4.4 ★</t>
        </is>
      </c>
      <c r="F20" s="13" t="inlineStr">
        <is>
          <t>12:00 PM – 10:00 PM</t>
        </is>
      </c>
      <c r="G20" s="12" t="inlineStr">
        <is>
          <t>₹350</t>
        </is>
      </c>
      <c r="H20" s="7" t="inlineStr">
        <is>
          <t>Fresh pearl spot fry, squid roast, Kerala parotta</t>
        </is>
      </c>
      <c r="I20" s="7" t="inlineStr">
        <is>
          <t>Authentic village home-style seafood right by the water in India's first eco-tourism village.</t>
        </is>
      </c>
    </row>
    <row r="21" ht="28" customHeight="1">
      <c r="A21" s="10" t="inlineStr">
        <is>
          <t>Kumbalangi</t>
        </is>
      </c>
      <c r="B21" s="9" t="inlineStr">
        <is>
          <t>Zostel Cafe &amp; Kitchen</t>
        </is>
      </c>
      <c r="C21" s="7" t="inlineStr">
        <is>
          <t>Hostel Cafe &amp; Comfort Foods</t>
        </is>
      </c>
      <c r="D21" s="11" t="inlineStr">
        <is>
          <t>Primary Backup</t>
        </is>
      </c>
      <c r="E21" s="10" t="inlineStr">
        <is>
          <t>4.3 ★</t>
        </is>
      </c>
      <c r="F21" s="13" t="inlineStr">
        <is>
          <t>08:00 AM – 10:30 PM</t>
        </is>
      </c>
      <c r="G21" s="12" t="inlineStr">
        <is>
          <t>₹300</t>
        </is>
      </c>
      <c r="H21" s="7" t="inlineStr">
        <is>
          <t>Pasta, sandwiches, masala chai, Kerala breakfast</t>
        </is>
      </c>
      <c r="I21" s="7" t="inlineStr">
        <is>
          <t>Dine on the open-air wooden deck over the Kumbalangi backwater rim.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64" customWidth="1" min="2" max="2"/>
    <col width="17" customWidth="1" min="3" max="3"/>
    <col width="17" customWidth="1" min="4" max="4"/>
    <col width="16" customWidth="1" min="5" max="5"/>
    <col width="17" customWidth="1" min="6" max="6"/>
    <col width="40" customWidth="1" min="7" max="7"/>
    <col width="21" customWidth="1" min="8" max="8"/>
  </cols>
  <sheetData>
    <row r="1" ht="42" customHeight="1">
      <c r="A1" s="1" t="inlineStr">
        <is>
          <t>🌴 TRIP BUDGET ESTIMATION &amp; SPLITWISE LEDGER</t>
        </is>
      </c>
      <c r="B1" s="2" t="n"/>
      <c r="C1" s="2" t="n"/>
      <c r="D1" s="2" t="n"/>
      <c r="E1" s="2" t="n"/>
      <c r="F1" s="2" t="n"/>
      <c r="G1" s="2" t="n"/>
      <c r="H1" s="3" t="n"/>
    </row>
    <row r="2" ht="24" customHeight="1">
      <c r="A2" s="4" t="inlineStr">
        <is>
          <t>Estimated Total Outlay, Advance Payments, Balance Settlements &amp; 2-Traveller Split Calculation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 ht="26" customHeight="1">
      <c r="A4" s="5" t="inlineStr">
        <is>
          <t>💰 MACRO ESTIMATED BUDGET BREAKDOWN (2 TRAVELLERS)</t>
        </is>
      </c>
    </row>
    <row r="5" ht="24" customHeight="1">
      <c r="A5" s="14" t="inlineStr">
        <is>
          <t>Expense Category</t>
        </is>
      </c>
      <c r="B5" s="14" t="inlineStr">
        <is>
          <t>Details &amp; Breakdown Inclusions</t>
        </is>
      </c>
      <c r="C5" s="34" t="n"/>
      <c r="D5" s="14" t="inlineStr">
        <is>
          <t>Est. Total (₹)</t>
        </is>
      </c>
      <c r="E5" s="14" t="inlineStr">
        <is>
          <t>Vishnu (₹)</t>
        </is>
      </c>
      <c r="F5" s="14" t="inlineStr">
        <is>
          <t>Co-rider (₹)</t>
        </is>
      </c>
      <c r="G5" s="14" t="inlineStr">
        <is>
          <t>Payment Status &amp; Settlement Notes</t>
        </is>
      </c>
      <c r="H5" s="34" t="n"/>
    </row>
    <row r="6" ht="24" customHeight="1">
      <c r="A6" s="9" t="inlineStr">
        <is>
          <t>🚆 Train (Vande Bharat Outbound)</t>
        </is>
      </c>
      <c r="B6" s="7" t="inlineStr">
        <is>
          <t>Bengaluru ➔ Ernakulam Jn (2 Tickets @ ₹1,708)</t>
        </is>
      </c>
      <c r="C6" s="3" t="n"/>
      <c r="D6" s="16" t="n">
        <v>3416</v>
      </c>
      <c r="E6" s="16">
        <f>D6/2</f>
        <v/>
      </c>
      <c r="F6" s="16">
        <f>D6/2</f>
        <v/>
      </c>
      <c r="G6" s="7" t="inlineStr">
        <is>
          <t>Confirmed &amp; Paid</t>
        </is>
      </c>
      <c r="H6" s="3" t="n"/>
    </row>
    <row r="7" ht="24" customHeight="1">
      <c r="A7" s="9" t="inlineStr">
        <is>
          <t>🚆 Train (Vande Bharat Return)</t>
        </is>
      </c>
      <c r="B7" s="7" t="inlineStr">
        <is>
          <t>Ernakulam Jn ➔ Bengaluru (2 Tickets @ ₹1,708)</t>
        </is>
      </c>
      <c r="C7" s="3" t="n"/>
      <c r="D7" s="16" t="n">
        <v>3416</v>
      </c>
      <c r="E7" s="16">
        <f>D7/2</f>
        <v/>
      </c>
      <c r="F7" s="16">
        <f>D7/2</f>
        <v/>
      </c>
      <c r="G7" s="7" t="inlineStr">
        <is>
          <t>Confirmed &amp; Paid</t>
        </is>
      </c>
      <c r="H7" s="3" t="n"/>
    </row>
    <row r="8" ht="24" customHeight="1">
      <c r="A8" s="9" t="inlineStr">
        <is>
          <t>🛵 Scooter Rental (Total)</t>
        </is>
      </c>
      <c r="B8" s="7" t="inlineStr">
        <is>
          <t>5-day rental package (₹500 advance + ₹2,300 balance)</t>
        </is>
      </c>
      <c r="C8" s="3" t="n"/>
      <c r="D8" s="16" t="n">
        <v>2800</v>
      </c>
      <c r="E8" s="16">
        <f>D8/2</f>
        <v/>
      </c>
      <c r="F8" s="16">
        <f>D8/2</f>
        <v/>
      </c>
      <c r="G8" s="7" t="inlineStr">
        <is>
          <t>₹500 Advance Paid; ₹2,300 due 20 Oct</t>
        </is>
      </c>
      <c r="H8" s="3" t="n"/>
    </row>
    <row r="9" ht="24" customHeight="1">
      <c r="A9" s="9" t="inlineStr">
        <is>
          <t>⛽ Fuel (Petrol)</t>
        </is>
      </c>
      <c r="B9" s="7" t="inlineStr">
        <is>
          <t>~165 km + local buffer @ 40 km/l (~5 litres)</t>
        </is>
      </c>
      <c r="C9" s="3" t="n"/>
      <c r="D9" s="16" t="n">
        <v>600</v>
      </c>
      <c r="E9" s="16">
        <f>D9/2</f>
        <v/>
      </c>
      <c r="F9" s="16">
        <f>D9/2</f>
        <v/>
      </c>
      <c r="G9" s="7" t="inlineStr">
        <is>
          <t>Fuel up at BPCL/IndianOil pumps</t>
        </is>
      </c>
      <c r="H9" s="3" t="n"/>
    </row>
    <row r="10" ht="24" customHeight="1">
      <c r="A10" s="9" t="inlineStr">
        <is>
          <t>🏨 Stays (4 Nights Total)</t>
        </is>
      </c>
      <c r="B10" s="7" t="inlineStr">
        <is>
          <t>Calvin's Inn (N1), Ocean Aura (N2-N3), Zostel (N4)</t>
        </is>
      </c>
      <c r="C10" s="3" t="n"/>
      <c r="D10" s="16" t="n">
        <v>6500</v>
      </c>
      <c r="E10" s="16">
        <f>D10/2</f>
        <v/>
      </c>
      <c r="F10" s="16">
        <f>D10/2</f>
        <v/>
      </c>
      <c r="G10" s="7" t="inlineStr">
        <is>
          <t>Booked / User-Provided Accommodations</t>
        </is>
      </c>
      <c r="H10" s="3" t="n"/>
    </row>
    <row r="11" ht="24" customHeight="1">
      <c r="A11" s="9" t="inlineStr">
        <is>
          <t>🛶 Opulence Kayaking</t>
        </is>
      </c>
      <c r="B11" s="7" t="inlineStr">
        <is>
          <t>Kuttanad Backwater Kayaking (Slot booked with breakfast)</t>
        </is>
      </c>
      <c r="C11" s="3" t="n"/>
      <c r="D11" s="16" t="n">
        <v>700</v>
      </c>
      <c r="E11" s="16">
        <f>D11/2</f>
        <v/>
      </c>
      <c r="F11" s="16">
        <f>D11/2</f>
        <v/>
      </c>
      <c r="G11" s="7" t="inlineStr">
        <is>
          <t>Booked at ₹700 (Incl. breakfast)</t>
        </is>
      </c>
      <c r="H11" s="3" t="n"/>
    </row>
    <row r="12" ht="24" customHeight="1">
      <c r="A12" s="9" t="inlineStr">
        <is>
          <t>⛴️ Kochi Water Metro</t>
        </is>
      </c>
      <c r="B12" s="7" t="inlineStr">
        <is>
          <t>Fort Kochi ⇄ High Court catamaran tickets (2 Riders)</t>
        </is>
      </c>
      <c r="C12" s="3" t="n"/>
      <c r="D12" s="16" t="n">
        <v>160</v>
      </c>
      <c r="E12" s="16">
        <f>D12/2</f>
        <v/>
      </c>
      <c r="F12" s="16">
        <f>D12/2</f>
        <v/>
      </c>
      <c r="G12" s="7" t="inlineStr">
        <is>
          <t>Pay at counter / Kochi1 app</t>
        </is>
      </c>
      <c r="H12" s="3" t="n"/>
    </row>
    <row r="13" ht="24" customHeight="1">
      <c r="A13" s="9" t="inlineStr">
        <is>
          <t>🎟 Entry Tickets &amp; Parking</t>
        </is>
      </c>
      <c r="B13" s="7" t="inlineStr">
        <is>
          <t>Alleppey Lighthouse (₹20), Ambalappuzha, tolls/parking</t>
        </is>
      </c>
      <c r="C13" s="3" t="n"/>
      <c r="D13" s="16" t="n">
        <v>250</v>
      </c>
      <c r="E13" s="16">
        <f>D13/2</f>
        <v/>
      </c>
      <c r="F13" s="16">
        <f>D13/2</f>
        <v/>
      </c>
      <c r="G13" s="7" t="inlineStr">
        <is>
          <t>Pay on spot</t>
        </is>
      </c>
      <c r="H13" s="3" t="n"/>
    </row>
    <row r="14" ht="24" customHeight="1">
      <c r="A14" s="9" t="inlineStr">
        <is>
          <t>🍽 Meals, Cafes &amp; Dining</t>
        </is>
      </c>
      <c r="B14" s="7" t="inlineStr">
        <is>
          <t>5-day dining (Warehouse, Fort House, Catamaran, Shaap, Kashi)</t>
        </is>
      </c>
      <c r="C14" s="3" t="n"/>
      <c r="D14" s="16" t="n">
        <v>5500</v>
      </c>
      <c r="E14" s="16">
        <f>D14/2</f>
        <v/>
      </c>
      <c r="F14" s="16">
        <f>D14/2</f>
        <v/>
      </c>
      <c r="G14" s="7" t="inlineStr">
        <is>
          <t>Split equally as incurred</t>
        </is>
      </c>
      <c r="H14" s="3" t="n"/>
    </row>
    <row r="15" ht="26" customHeight="1">
      <c r="A15" s="32" t="inlineStr">
        <is>
          <t>ESTIMATED TOTAL OUTLAY (2 TRAVELLERS):</t>
        </is>
      </c>
      <c r="B15" s="33" t="n"/>
      <c r="C15" s="34" t="n"/>
      <c r="D15" s="35">
        <f>SUM(D6:D14)</f>
        <v/>
      </c>
      <c r="E15" s="35">
        <f>SUM(E6:E14)</f>
        <v/>
      </c>
      <c r="F15" s="35">
        <f>SUM(F6:F14)</f>
        <v/>
      </c>
      <c r="G15" s="36" t="n"/>
      <c r="H15" s="36" t="n"/>
    </row>
    <row r="16"/>
    <row r="17" ht="26" customHeight="1">
      <c r="A17" s="5" t="inlineStr">
        <is>
          <t>🧾 PRE-PAID ADVANCES &amp; BALANCE SETTLEMENT TRACKER</t>
        </is>
      </c>
    </row>
    <row r="18" ht="24" customHeight="1">
      <c r="A18" s="14" t="inlineStr">
        <is>
          <t>Date Recorded</t>
        </is>
      </c>
      <c r="B18" s="14" t="inlineStr">
        <is>
          <t>Expense / Payment Title</t>
        </is>
      </c>
      <c r="C18" s="14" t="inlineStr">
        <is>
          <t>Category</t>
        </is>
      </c>
      <c r="D18" s="14" t="inlineStr">
        <is>
          <t>Paid By</t>
        </is>
      </c>
      <c r="E18" s="14" t="inlineStr">
        <is>
          <t>Split Method</t>
        </is>
      </c>
      <c r="F18" s="14" t="inlineStr">
        <is>
          <t>Total Paid (₹)</t>
        </is>
      </c>
      <c r="G18" s="14" t="inlineStr">
        <is>
          <t>Vishnu Share (₹)</t>
        </is>
      </c>
      <c r="H18" s="14" t="inlineStr">
        <is>
          <t>Co-rider Share (₹)</t>
        </is>
      </c>
    </row>
    <row r="19" ht="24" customHeight="1">
      <c r="A19" s="13" t="inlineStr">
        <is>
          <t>10 Oct 2026</t>
        </is>
      </c>
      <c r="B19" s="9" t="inlineStr">
        <is>
          <t>Scooter Rental Advance Deposit (Prepaid)</t>
        </is>
      </c>
      <c r="C19" s="13" t="inlineStr">
        <is>
          <t>Scooter Rental</t>
        </is>
      </c>
      <c r="D19" s="10" t="inlineStr">
        <is>
          <t>Vishnu</t>
        </is>
      </c>
      <c r="E19" s="13" t="inlineStr">
        <is>
          <t>Equal (50/50)</t>
        </is>
      </c>
      <c r="F19" s="16" t="n">
        <v>500</v>
      </c>
      <c r="G19" s="16">
        <f>F19/2</f>
        <v/>
      </c>
      <c r="H19" s="16">
        <f>F19/2</f>
        <v/>
      </c>
    </row>
    <row r="20" ht="24" customHeight="1">
      <c r="A20" s="13" t="inlineStr">
        <is>
          <t>10 Oct 2026</t>
        </is>
      </c>
      <c r="B20" s="9" t="inlineStr">
        <is>
          <t>Vande Bharat Outbound (Bengaluru ➔ ERS)</t>
        </is>
      </c>
      <c r="C20" s="13" t="inlineStr">
        <is>
          <t>Train Tickets</t>
        </is>
      </c>
      <c r="D20" s="10" t="inlineStr">
        <is>
          <t>Vishnu</t>
        </is>
      </c>
      <c r="E20" s="13" t="inlineStr">
        <is>
          <t>Equal (50/50)</t>
        </is>
      </c>
      <c r="F20" s="16" t="n">
        <v>3416</v>
      </c>
      <c r="G20" s="16">
        <f>F20/2</f>
        <v/>
      </c>
      <c r="H20" s="16">
        <f>F20/2</f>
        <v/>
      </c>
    </row>
    <row r="21" ht="24" customHeight="1">
      <c r="A21" s="13" t="inlineStr">
        <is>
          <t>10 Oct 2026</t>
        </is>
      </c>
      <c r="B21" s="9" t="inlineStr">
        <is>
          <t>Vande Bharat Return (ERS ➔ Bengaluru)</t>
        </is>
      </c>
      <c r="C21" s="13" t="inlineStr">
        <is>
          <t>Train Tickets</t>
        </is>
      </c>
      <c r="D21" s="10" t="inlineStr">
        <is>
          <t>Vishnu</t>
        </is>
      </c>
      <c r="E21" s="13" t="inlineStr">
        <is>
          <t>Equal (50/50)</t>
        </is>
      </c>
      <c r="F21" s="16" t="n">
        <v>3416</v>
      </c>
      <c r="G21" s="16">
        <f>F21/2</f>
        <v/>
      </c>
      <c r="H21" s="16">
        <f>F21/2</f>
        <v/>
      </c>
    </row>
    <row r="22" ht="24" customHeight="1">
      <c r="A22" s="13" t="inlineStr">
        <is>
          <t>18 Oct 2026</t>
        </is>
      </c>
      <c r="B22" s="9" t="inlineStr">
        <is>
          <t>Opulence Kayaking Session (Slot Deposit)</t>
        </is>
      </c>
      <c r="C22" s="13" t="inlineStr">
        <is>
          <t>Activity</t>
        </is>
      </c>
      <c r="D22" s="10" t="inlineStr">
        <is>
          <t>Vishnu</t>
        </is>
      </c>
      <c r="E22" s="13" t="inlineStr">
        <is>
          <t>Equal (50/50)</t>
        </is>
      </c>
      <c r="F22" s="16" t="n">
        <v>700</v>
      </c>
      <c r="G22" s="16">
        <f>F22/2</f>
        <v/>
      </c>
      <c r="H22" s="16">
        <f>F22/2</f>
        <v/>
      </c>
    </row>
    <row r="23" ht="24" customHeight="1">
      <c r="A23" s="13" t="inlineStr">
        <is>
          <t>20 Oct 2026 (Due)</t>
        </is>
      </c>
      <c r="B23" s="9" t="inlineStr">
        <is>
          <t>Scooter Rental Balance Payment (Due on Return)</t>
        </is>
      </c>
      <c r="C23" s="13" t="inlineStr">
        <is>
          <t>Scooter Rental</t>
        </is>
      </c>
      <c r="D23" s="10" t="inlineStr">
        <is>
          <t>Pending</t>
        </is>
      </c>
      <c r="E23" s="13" t="inlineStr">
        <is>
          <t>Equal (50/50)</t>
        </is>
      </c>
      <c r="F23" s="16" t="n">
        <v>2300</v>
      </c>
      <c r="G23" s="16">
        <f>F23/2</f>
        <v/>
      </c>
      <c r="H23" s="16">
        <f>F23/2</f>
        <v/>
      </c>
    </row>
    <row r="24" ht="26" customHeight="1">
      <c r="A24" s="32" t="inlineStr">
        <is>
          <t>TOTAL COMMITTED PAYMENTS &amp; ADVANCES:</t>
        </is>
      </c>
      <c r="B24" s="33" t="n"/>
      <c r="C24" s="33" t="n"/>
      <c r="D24" s="33" t="n"/>
      <c r="E24" s="34" t="n"/>
      <c r="F24" s="35">
        <f>SUM(F19:F23)</f>
        <v/>
      </c>
      <c r="G24" s="35">
        <f>SUM(G19:G23)</f>
        <v/>
      </c>
      <c r="H24" s="35">
        <f>SUM(H19:H23)</f>
        <v/>
      </c>
    </row>
  </sheetData>
  <mergeCells count="26">
    <mergeCell ref="G12:H12"/>
    <mergeCell ref="B7:C7"/>
    <mergeCell ref="A24:E24"/>
    <mergeCell ref="G11:H11"/>
    <mergeCell ref="A1:H1"/>
    <mergeCell ref="G8:H8"/>
    <mergeCell ref="B12:C12"/>
    <mergeCell ref="G7:H7"/>
    <mergeCell ref="B11:C11"/>
    <mergeCell ref="G10:H10"/>
    <mergeCell ref="B14:C14"/>
    <mergeCell ref="G6:H6"/>
    <mergeCell ref="G13:H13"/>
    <mergeCell ref="B8:C8"/>
    <mergeCell ref="B13:C13"/>
    <mergeCell ref="A2:H2"/>
    <mergeCell ref="B10:C10"/>
    <mergeCell ref="G5:H5"/>
    <mergeCell ref="G14:H14"/>
    <mergeCell ref="B9:C9"/>
    <mergeCell ref="A15:C15"/>
    <mergeCell ref="A17:H17"/>
    <mergeCell ref="A4:H4"/>
    <mergeCell ref="B6:C6"/>
    <mergeCell ref="B5:C5"/>
    <mergeCell ref="G9:H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65" customWidth="1" min="2" max="2"/>
    <col width="12" customWidth="1" min="3" max="3"/>
    <col width="19" customWidth="1" min="4" max="4"/>
    <col width="12" customWidth="1" min="5" max="5"/>
    <col width="65" customWidth="1" min="6" max="6"/>
  </cols>
  <sheetData>
    <row r="1" ht="42" customHeight="1">
      <c r="A1" s="1" t="inlineStr">
        <is>
          <t>🌴 PACKING CHECKLIST &amp; KERALA ROAD SAFETY GUIDELINES</t>
        </is>
      </c>
      <c r="B1" s="2" t="n"/>
      <c r="C1" s="2" t="n"/>
      <c r="D1" s="2" t="n"/>
      <c r="E1" s="2" t="n"/>
      <c r="F1" s="3" t="n"/>
    </row>
    <row r="2" ht="24" customHeight="1">
      <c r="A2" s="4" t="inlineStr">
        <is>
          <t>Essential Documents, AI Camera Traffic Enforcement, Temple Dress Codes &amp; Daily Action Items</t>
        </is>
      </c>
      <c r="B2" s="2" t="n"/>
      <c r="C2" s="2" t="n"/>
      <c r="D2" s="2" t="n"/>
      <c r="E2" s="2" t="n"/>
      <c r="F2" s="3" t="n"/>
    </row>
    <row r="3"/>
    <row r="4" ht="26" customHeight="1">
      <c r="A4" s="5" t="inlineStr">
        <is>
          <t>🎒 PRE-TRIP PACKING &amp; GEAR CHECKLIST</t>
        </is>
      </c>
    </row>
    <row r="5" ht="24" customHeight="1">
      <c r="A5" s="14" t="inlineStr">
        <is>
          <t>Category</t>
        </is>
      </c>
      <c r="B5" s="14" t="inlineStr">
        <is>
          <t>Checklist Item Description</t>
        </is>
      </c>
      <c r="C5" s="34" t="n"/>
      <c r="D5" s="14" t="inlineStr">
        <is>
          <t>Status</t>
        </is>
      </c>
      <c r="E5" s="14" t="inlineStr">
        <is>
          <t>Priority</t>
        </is>
      </c>
      <c r="F5" s="14" t="inlineStr">
        <is>
          <t>Guidance, Safety Impact &amp; Action Notes</t>
        </is>
      </c>
    </row>
    <row r="6" ht="24" customHeight="1">
      <c r="A6" s="10" t="inlineStr">
        <is>
          <t>Documents</t>
        </is>
      </c>
      <c r="B6" s="9" t="inlineStr">
        <is>
          <t>Train tickets confirmed (Outbound &amp; Return Vande Bharat)</t>
        </is>
      </c>
      <c r="C6" s="3" t="n"/>
      <c r="D6" s="11" t="inlineStr">
        <is>
          <t>✅ Confirmed</t>
        </is>
      </c>
      <c r="E6" s="13" t="inlineStr">
        <is>
          <t>High</t>
        </is>
      </c>
      <c r="F6" s="7" t="inlineStr">
        <is>
          <t>Keep offline PDF/IRCTC e-ticket handy on phone without relying on data connectivity.</t>
        </is>
      </c>
    </row>
    <row r="7" ht="24" customHeight="1">
      <c r="A7" s="10" t="inlineStr">
        <is>
          <t>Documents</t>
        </is>
      </c>
      <c r="B7" s="9" t="inlineStr">
        <is>
          <t>Valid physical Driving Licence and Digilocker copy ready</t>
        </is>
      </c>
      <c r="C7" s="3" t="n"/>
      <c r="D7" s="11" t="inlineStr">
        <is>
          <t>✅ Ready</t>
        </is>
      </c>
      <c r="E7" s="31" t="inlineStr">
        <is>
          <t>Critical</t>
        </is>
      </c>
      <c r="F7" s="7" t="inlineStr">
        <is>
          <t>Mandatory for vehicle rental pickup near ERS and Kerala Motor Vehicles Dept (MVD) checks.</t>
        </is>
      </c>
    </row>
    <row r="8" ht="24" customHeight="1">
      <c r="A8" s="10" t="inlineStr">
        <is>
          <t>Transport</t>
        </is>
      </c>
      <c r="B8" s="9" t="inlineStr">
        <is>
          <t>Scooter pickup confirmation &amp; ₹500 advance recorded</t>
        </is>
      </c>
      <c r="C8" s="3" t="n"/>
      <c r="D8" s="11" t="inlineStr">
        <is>
          <t>✅ Confirmed</t>
        </is>
      </c>
      <c r="E8" s="31" t="inlineStr">
        <is>
          <t>Critical</t>
        </is>
      </c>
      <c r="F8" s="7" t="inlineStr">
        <is>
          <t>Contact: 9003955156. Pickup at 2:30 PM (16 Oct). Inspect vehicle body, tyres, brakes &amp; RC.</t>
        </is>
      </c>
    </row>
    <row r="9" ht="24" customHeight="1">
      <c r="A9" s="10" t="inlineStr">
        <is>
          <t>Safety Gear</t>
        </is>
      </c>
      <c r="B9" s="9" t="inlineStr">
        <is>
          <t>Two ISI-certified Helmets with functioning chin straps</t>
        </is>
      </c>
      <c r="C9" s="3" t="n"/>
      <c r="D9" s="26" t="inlineStr">
        <is>
          <t>⏳ Pack Today</t>
        </is>
      </c>
      <c r="E9" s="31" t="inlineStr">
        <is>
          <t>Critical</t>
        </is>
      </c>
      <c r="F9" s="7" t="inlineStr">
        <is>
          <t>🛑 MANDATORY: Kerala has 700+ AI-enabled traffic cameras. Fines auto-issued for unstrapped/missing helmets for both rider and pillion!</t>
        </is>
      </c>
    </row>
    <row r="10" ht="24" customHeight="1">
      <c r="A10" s="10" t="inlineStr">
        <is>
          <t>Rain Gear</t>
        </is>
      </c>
      <c r="B10" s="9" t="inlineStr">
        <is>
          <t>Lightweight Rain Poncho / Windcheater &amp; Backpack cover</t>
        </is>
      </c>
      <c r="C10" s="3" t="n"/>
      <c r="D10" s="26" t="inlineStr">
        <is>
          <t>⏳ Pack Today</t>
        </is>
      </c>
      <c r="E10" s="13" t="inlineStr">
        <is>
          <t>High</t>
        </is>
      </c>
      <c r="F10" s="7" t="inlineStr">
        <is>
          <t>Essential for sudden coastal afternoon rain showers while riding on coastal highways.</t>
        </is>
      </c>
    </row>
    <row r="11" ht="24" customHeight="1">
      <c r="A11" s="10" t="inlineStr">
        <is>
          <t>Electronics</t>
        </is>
      </c>
      <c r="B11" s="9" t="inlineStr">
        <is>
          <t>Waterproof phone pouch with neck lanyard</t>
        </is>
      </c>
      <c r="C11" s="3" t="n"/>
      <c r="D11" s="26" t="inlineStr">
        <is>
          <t>⏳ Pack Today</t>
        </is>
      </c>
      <c r="E11" s="31" t="inlineStr">
        <is>
          <t>Critical</t>
        </is>
      </c>
      <c r="F11" s="7" t="inlineStr">
        <is>
          <t>Vital for Opulence kayaking on Day 3 and coastal riding in rain.</t>
        </is>
      </c>
    </row>
    <row r="12" ht="24" customHeight="1">
      <c r="A12" s="10" t="inlineStr">
        <is>
          <t>Electronics</t>
        </is>
      </c>
      <c r="B12" s="9" t="inlineStr">
        <is>
          <t>High-capacity Power Bank (20,000 mAh) + fast cables</t>
        </is>
      </c>
      <c r="C12" s="3" t="n"/>
      <c r="D12" s="26" t="inlineStr">
        <is>
          <t>⏳ Pack Today</t>
        </is>
      </c>
      <c r="E12" s="13" t="inlineStr">
        <is>
          <t>High</t>
        </is>
      </c>
      <c r="F12" s="7" t="inlineStr">
        <is>
          <t>Keep phones charged during all-day navigation, photo capture, and ticket validation.</t>
        </is>
      </c>
    </row>
    <row r="13" ht="24" customHeight="1">
      <c r="A13" s="10" t="inlineStr">
        <is>
          <t>Cash Buffer</t>
        </is>
      </c>
      <c r="B13" s="9" t="inlineStr">
        <is>
          <t>Emergency Cash (₹3,000 – ₹5,000 in ₹100/₹500 notes)</t>
        </is>
      </c>
      <c r="C13" s="3" t="n"/>
      <c r="D13" s="26" t="inlineStr">
        <is>
          <t>⏳ Withdraw Today</t>
        </is>
      </c>
      <c r="E13" s="13" t="inlineStr">
        <is>
          <t>High</t>
        </is>
      </c>
      <c r="F13" s="7" t="inlineStr">
        <is>
          <t>Tender coconut stalls, toddy shop, boat ticket counters, and remote beach vendors often lack UPI.</t>
        </is>
      </c>
    </row>
    <row r="14" ht="24" customHeight="1">
      <c r="A14" s="10" t="inlineStr">
        <is>
          <t>Navigation</t>
        </is>
      </c>
      <c r="B14" s="9" t="inlineStr">
        <is>
          <t>Download Offline Google Maps (Kochi, Alleppey, Kumbalangi)</t>
        </is>
      </c>
      <c r="C14" s="3" t="n"/>
      <c r="D14" s="26" t="inlineStr">
        <is>
          <t>⏳ Download Today</t>
        </is>
      </c>
      <c r="E14" s="13" t="inlineStr">
        <is>
          <t>High</t>
        </is>
      </c>
      <c r="F14" s="7" t="inlineStr">
        <is>
          <t>Crucial for coastal roads and canal bunds where cellular network signals fluctuate.</t>
        </is>
      </c>
    </row>
    <row r="15" ht="24" customHeight="1">
      <c r="A15" s="10" t="inlineStr">
        <is>
          <t>Attire</t>
        </is>
      </c>
      <c r="B15" s="9" t="inlineStr">
        <is>
          <t>Traditional Temple Attire (Mundu/veshti for Vishnu, Saree/salwar for Co-rider)</t>
        </is>
      </c>
      <c r="C15" s="3" t="n"/>
      <c r="D15" s="26" t="inlineStr">
        <is>
          <t>⏳ Pack Today</t>
        </is>
      </c>
      <c r="E15" s="13" t="inlineStr">
        <is>
          <t>High</t>
        </is>
      </c>
      <c r="F15" s="7" t="inlineStr">
        <is>
          <t>Mandatory for Ambalappuzha Sree Krishna Temple darshan on Day 4. Strict dress code enforced!</t>
        </is>
      </c>
    </row>
    <row r="16"/>
    <row r="17" ht="26" customHeight="1">
      <c r="A17" s="5" t="inlineStr">
        <is>
          <t>🛡 KERALA ROAD SAFETY, CULTURAL LAWS &amp; EXPEDITION GUIDELINES</t>
        </is>
      </c>
    </row>
    <row r="18" ht="30" customHeight="1">
      <c r="A18" s="10" t="inlineStr">
        <is>
          <t>AI Traffic Camera Network</t>
        </is>
      </c>
      <c r="B18" s="7" t="inlineStr">
        <is>
          <t>Over 700+ AI-enabled cameras operate on Kerala roads. Both rider and pillion MUST wear strapped ISI helmets. Speed limits and lane discipline strictly monitored with automated challans.</t>
        </is>
      </c>
      <c r="C18" s="2" t="n"/>
      <c r="D18" s="2" t="n"/>
      <c r="E18" s="2" t="n"/>
      <c r="F18" s="3" t="n"/>
    </row>
    <row r="19" ht="30" customHeight="1">
      <c r="A19" s="10" t="inlineStr">
        <is>
          <t>Responsible Riding (Shaap)</t>
        </is>
      </c>
      <c r="B19" s="7" t="inlineStr">
        <is>
          <t>Never ride after consuming toddy or alcohol at No. 1 Kallu Shap! Arrange a designated sober driver or alternative auto transport. Kerala police enforce zero-tolerance breathalyzer checks.</t>
        </is>
      </c>
      <c r="C19" s="2" t="n"/>
      <c r="D19" s="2" t="n"/>
      <c r="E19" s="2" t="n"/>
      <c r="F19" s="3" t="n"/>
    </row>
    <row r="20" ht="30" customHeight="1">
      <c r="A20" s="10" t="inlineStr">
        <is>
          <t>Temple Sanctum Dress Codes</t>
        </is>
      </c>
      <c r="B20" s="7" t="inlineStr">
        <is>
          <t>Ambalappuzha Sree Krishna Temple strictly enforces traditional Kerala dress code: Men must wear Mundu (veshti) bare-chested; Women must wear saree, set-mundu, or salwar kameez.</t>
        </is>
      </c>
      <c r="C20" s="2" t="n"/>
      <c r="D20" s="2" t="n"/>
      <c r="E20" s="2" t="n"/>
      <c r="F20" s="3" t="n"/>
    </row>
    <row r="21" ht="30" customHeight="1">
      <c r="A21" s="10" t="inlineStr">
        <is>
          <t>Lighthouse Ticket Cutoff</t>
        </is>
      </c>
      <c r="B21" s="7" t="inlineStr">
        <is>
          <t>Alleppey Lighthouse operating window is 2:00 PM – 5:30 PM, but the ticket counter closes at 5:00 PM sharp. Arrive before 4:45 PM on Day 2 to climb the 100+ wooden spiral steps.</t>
        </is>
      </c>
      <c r="C21" s="2" t="n"/>
      <c r="D21" s="2" t="n"/>
      <c r="E21" s="2" t="n"/>
      <c r="F21" s="3" t="n"/>
    </row>
    <row r="22" ht="30" customHeight="1">
      <c r="A22" s="10" t="inlineStr">
        <is>
          <t>Day 5 Return Hard Deadlines</t>
        </is>
      </c>
      <c r="B22" s="7" t="inlineStr">
        <is>
          <t>Leave Fort Kochi NO LATER THAN 12:15 PM on Day 5. Cross Willingdon Island to absorb mainland traffic. Return scooter by 1:00 PM (latest 1:30 PM) to board the 2:00 PM Vande Bharat train comfortably.</t>
        </is>
      </c>
      <c r="C22" s="2" t="n"/>
      <c r="D22" s="2" t="n"/>
      <c r="E22" s="2" t="n"/>
      <c r="F22" s="3" t="n"/>
    </row>
  </sheetData>
  <mergeCells count="20">
    <mergeCell ref="B7:C7"/>
    <mergeCell ref="B22:F22"/>
    <mergeCell ref="B18:F18"/>
    <mergeCell ref="B12:C12"/>
    <mergeCell ref="B21:F21"/>
    <mergeCell ref="A2:F2"/>
    <mergeCell ref="B11:C11"/>
    <mergeCell ref="B14:C14"/>
    <mergeCell ref="A17:F17"/>
    <mergeCell ref="A4:F4"/>
    <mergeCell ref="B8:C8"/>
    <mergeCell ref="B13:C13"/>
    <mergeCell ref="B10:C10"/>
    <mergeCell ref="B19:F19"/>
    <mergeCell ref="B9:C9"/>
    <mergeCell ref="B6:C6"/>
    <mergeCell ref="B15:C15"/>
    <mergeCell ref="B20:F20"/>
    <mergeCell ref="B5:C5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2026-10-15T06:44:31Z</dcterms:created>
  <dcterms:modified xsi:type="dcterms:W3CDTF">2026-10-15T06:44:31Z</dcterms:modified>
</cp:coreProperties>
</file>